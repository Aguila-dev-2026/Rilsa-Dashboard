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Químicos" sheetId="1" state="visible" r:id="rId3"/>
    <sheet name="M3- KWH" sheetId="2" state="visible" r:id="rId4"/>
    <sheet name="Contenedores" sheetId="3" state="visible" r:id="rId5"/>
  </sheets>
  <definedNames>
    <definedName function="false" hidden="false" localSheetId="2" name="_xlnm.Print_Area" vbProcedure="false">Contenedores!$C$10:$J$42</definedName>
    <definedName function="false" hidden="false" localSheetId="0" name="_xlnm.Print_Area" vbProcedure="false">Químicos!$E$11:$I$43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<sst xmlns="http://schemas.openxmlformats.org/spreadsheetml/2006/main" count="134" uniqueCount="39">
  <si>
    <t xml:space="preserve">RILSA 2026</t>
  </si>
  <si>
    <t xml:space="preserve">JUNIO</t>
  </si>
  <si>
    <t xml:space="preserve">JULIO</t>
  </si>
  <si>
    <t xml:space="preserve">AGOSTO</t>
  </si>
  <si>
    <t xml:space="preserve">Polimeros</t>
  </si>
  <si>
    <t xml:space="preserve">Dia</t>
  </si>
  <si>
    <t xml:space="preserve">Catiónico</t>
  </si>
  <si>
    <t xml:space="preserve">Aniónico</t>
  </si>
  <si>
    <t xml:space="preserve">Pac</t>
  </si>
  <si>
    <t xml:space="preserve">Cal</t>
  </si>
  <si>
    <t xml:space="preserve">Saco Catiónico</t>
  </si>
  <si>
    <t xml:space="preserve">kls</t>
  </si>
  <si>
    <t xml:space="preserve">Saco Aniónico</t>
  </si>
  <si>
    <t xml:space="preserve">−</t>
  </si>
  <si>
    <t xml:space="preserve">Saco Pac</t>
  </si>
  <si>
    <t xml:space="preserve">Saco Cal</t>
  </si>
  <si>
    <t xml:space="preserve">Feriado</t>
  </si>
  <si>
    <t xml:space="preserve">Total Kilos</t>
  </si>
  <si>
    <t xml:space="preserve">Total Sacos </t>
  </si>
  <si>
    <t xml:space="preserve">RILSA</t>
  </si>
  <si>
    <t xml:space="preserve">JUNIO </t>
  </si>
  <si>
    <t xml:space="preserve">JULIO </t>
  </si>
  <si>
    <t xml:space="preserve">Julio</t>
  </si>
  <si>
    <t xml:space="preserve">METROS CUBICOS</t>
  </si>
  <si>
    <t xml:space="preserve">KWH</t>
  </si>
  <si>
    <t xml:space="preserve">M3</t>
  </si>
  <si>
    <t xml:space="preserve">lectura flujómetro Tk3 </t>
  </si>
  <si>
    <t xml:space="preserve">M3 </t>
  </si>
  <si>
    <t xml:space="preserve">Lectura Energia Electrica</t>
  </si>
  <si>
    <t xml:space="preserve">TOTAL</t>
  </si>
  <si>
    <t xml:space="preserve">PROMEDIO </t>
  </si>
  <si>
    <t xml:space="preserve">Junio</t>
  </si>
  <si>
    <t xml:space="preserve">Retiro de basura</t>
  </si>
  <si>
    <t xml:space="preserve">Derivado a </t>
  </si>
  <si>
    <t xml:space="preserve">Retiro de lodos </t>
  </si>
  <si>
    <t xml:space="preserve">Día</t>
  </si>
  <si>
    <t xml:space="preserve">Si</t>
  </si>
  <si>
    <t xml:space="preserve">No</t>
  </si>
  <si>
    <t xml:space="preserve">Total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</si>
</sst>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theme="1"/>
      <name val="Times New Roman"/>
      <family val="1"/>
      <charset val="1"/>
    </font>
    <font>
      <b val="true"/>
      <sz val="18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 val="true"/>
      <sz val="14"/>
      <color theme="1"/>
      <name val="Times New Roman"/>
      <family val="1"/>
      <charset val="1"/>
    </font>
    <font>
      <b val="true"/>
      <sz val="36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sz val="12"/>
      <color theme="1"/>
      <name val="Aptos Narrow"/>
      <family val="2"/>
      <charset val="1"/>
    </font>
    <font>
      <sz val="14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22"/>
      <color theme="1"/>
      <name val="Times New Roman"/>
      <family val="1"/>
      <charset val="1"/>
    </font>
    <font>
      <b val="true"/>
      <sz val="24"/>
      <color theme="1"/>
      <name val="Times New Roman"/>
      <family val="1"/>
      <charset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C0C0C0"/>
      </patternFill>
    </fill>
    <fill>
      <patternFill patternType="solid">
        <fgColor theme="7" tint="0.5999"/>
        <bgColor rgb="FFFFD966"/>
      </patternFill>
    </fill>
    <fill>
      <patternFill patternType="solid">
        <fgColor rgb="FF00B050"/>
        <bgColor rgb="FF0AA619"/>
      </patternFill>
    </fill>
    <fill>
      <patternFill patternType="solid">
        <fgColor rgb="FF7030A0"/>
        <bgColor rgb="FF993366"/>
      </patternFill>
    </fill>
    <fill>
      <patternFill patternType="solid">
        <fgColor rgb="FF00CC00"/>
        <bgColor rgb="FF0AA61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70AD47"/>
      </patternFill>
    </fill>
    <fill>
      <patternFill patternType="solid">
        <fgColor rgb="FFFF0000"/>
        <bgColor rgb="FF993300"/>
      </patternFill>
    </fill>
    <fill>
      <patternFill patternType="solid">
        <fgColor rgb="FF0AA619"/>
        <bgColor rgb="FF00B050"/>
      </patternFill>
    </fill>
    <fill>
      <patternFill patternType="solid">
        <fgColor rgb="FF0070C0"/>
        <bgColor rgb="FF008080"/>
      </patternFill>
    </fill>
    <fill>
      <patternFill patternType="solid">
        <fgColor theme="7" tint="0.3999"/>
        <bgColor rgb="FFFFE699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AA619"/>
      <rgbColor rgb="FF000080"/>
      <rgbColor rgb="FF808000"/>
      <rgbColor rgb="FF800080"/>
      <rgbColor rgb="FF008080"/>
      <rgbColor rgb="FFC0C0C0"/>
      <rgbColor rgb="FF70AD47"/>
      <rgbColor rgb="FF5B9BD5"/>
      <rgbColor rgb="FF7030A0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DC3E6"/>
      <rgbColor rgb="FFFF99CC"/>
      <rgbColor rgb="FFCC99FF"/>
      <rgbColor rgb="FFFFD966"/>
      <rgbColor rgb="FF4472C4"/>
      <rgbColor rgb="FF33CCCC"/>
      <rgbColor rgb="FF92D050"/>
      <rgbColor rgb="FFFFC000"/>
      <rgbColor rgb="FFFF9900"/>
      <rgbColor rgb="FFED7D31"/>
      <rgbColor rgb="FF595959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CONSUMO DIARIO 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  <c:perspective val="30"/>
    </c:view3D>
    <c:floor>
      <c:spPr>
        <a:noFill/>
        <a:ln w="6480">
          <a:noFill/>
        </a:ln>
      </c:spPr>
    </c:floor>
    <c:sideWall>
      <c:spPr>
        <a:noFill/>
        <a:ln w="25560">
          <a:noFill/>
        </a:ln>
      </c:spPr>
    </c:sideWall>
    <c:backWall>
      <c:spPr>
        <a:noFill/>
        <a:ln w="25560">
          <a:noFill/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'M3- KWH'!$D$11:$D$40</c:f>
              <c:numCache>
                <c:formatCode>General</c:formatCode>
                <c:ptCount val="30"/>
                <c:pt idx="0">
                  <c:v>221</c:v>
                </c:pt>
                <c:pt idx="1">
                  <c:v>132</c:v>
                </c:pt>
                <c:pt idx="2">
                  <c:v>163</c:v>
                </c:pt>
                <c:pt idx="3">
                  <c:v>85</c:v>
                </c:pt>
                <c:pt idx="4">
                  <c:v>202</c:v>
                </c:pt>
                <c:pt idx="5">
                  <c:v>43</c:v>
                </c:pt>
                <c:pt idx="7">
                  <c:v>172</c:v>
                </c:pt>
                <c:pt idx="8">
                  <c:v>81</c:v>
                </c:pt>
                <c:pt idx="9">
                  <c:v>141</c:v>
                </c:pt>
                <c:pt idx="10">
                  <c:v>129</c:v>
                </c:pt>
                <c:pt idx="11">
                  <c:v>117</c:v>
                </c:pt>
                <c:pt idx="12">
                  <c:v>39</c:v>
                </c:pt>
                <c:pt idx="14">
                  <c:v>172</c:v>
                </c:pt>
                <c:pt idx="15">
                  <c:v>151</c:v>
                </c:pt>
                <c:pt idx="16">
                  <c:v>105</c:v>
                </c:pt>
                <c:pt idx="17">
                  <c:v>111</c:v>
                </c:pt>
                <c:pt idx="18">
                  <c:v>191</c:v>
                </c:pt>
                <c:pt idx="19">
                  <c:v>57</c:v>
                </c:pt>
                <c:pt idx="21">
                  <c:v>134</c:v>
                </c:pt>
                <c:pt idx="22">
                  <c:v>130</c:v>
                </c:pt>
                <c:pt idx="23">
                  <c:v>186</c:v>
                </c:pt>
                <c:pt idx="24">
                  <c:v>137</c:v>
                </c:pt>
                <c:pt idx="25">
                  <c:v>110</c:v>
                </c:pt>
                <c:pt idx="26">
                  <c:v>20</c:v>
                </c:pt>
                <c:pt idx="28">
                  <c:v>124</c:v>
                </c:pt>
                <c:pt idx="29">
                  <c:v>108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'M3- KWH'!$E$11:$E$40</c:f>
              <c:numCache>
                <c:formatCode>General</c:formatCode>
                <c:ptCount val="30"/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'M3- KWH'!$F$11:$F$40</c:f>
              <c:numCache>
                <c:formatCode>General</c:formatCode>
                <c:ptCount val="30"/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'M3- KWH'!$G$11:$G$40</c:f>
              <c:numCache>
                <c:formatCode>General</c:formatCode>
                <c:ptCount val="30"/>
                <c:pt idx="0">
                  <c:v>323</c:v>
                </c:pt>
                <c:pt idx="1">
                  <c:v>300</c:v>
                </c:pt>
                <c:pt idx="2">
                  <c:v>400</c:v>
                </c:pt>
                <c:pt idx="3">
                  <c:v>362</c:v>
                </c:pt>
                <c:pt idx="4">
                  <c:v>359</c:v>
                </c:pt>
                <c:pt idx="5">
                  <c:v>718</c:v>
                </c:pt>
                <c:pt idx="7">
                  <c:v>494</c:v>
                </c:pt>
                <c:pt idx="8">
                  <c:v>481</c:v>
                </c:pt>
                <c:pt idx="9">
                  <c:v>524</c:v>
                </c:pt>
                <c:pt idx="10">
                  <c:v>505</c:v>
                </c:pt>
                <c:pt idx="11">
                  <c:v>441</c:v>
                </c:pt>
                <c:pt idx="12">
                  <c:v>1083</c:v>
                </c:pt>
                <c:pt idx="14">
                  <c:v>511</c:v>
                </c:pt>
                <c:pt idx="15">
                  <c:v>617</c:v>
                </c:pt>
                <c:pt idx="16">
                  <c:v>596</c:v>
                </c:pt>
                <c:pt idx="17">
                  <c:v>525</c:v>
                </c:pt>
                <c:pt idx="18">
                  <c:v>608</c:v>
                </c:pt>
                <c:pt idx="19">
                  <c:v>1072</c:v>
                </c:pt>
                <c:pt idx="21">
                  <c:v>419</c:v>
                </c:pt>
                <c:pt idx="22">
                  <c:v>415</c:v>
                </c:pt>
                <c:pt idx="23">
                  <c:v>462</c:v>
                </c:pt>
                <c:pt idx="24">
                  <c:v>416</c:v>
                </c:pt>
                <c:pt idx="25">
                  <c:v>399</c:v>
                </c:pt>
                <c:pt idx="26">
                  <c:v>1073</c:v>
                </c:pt>
                <c:pt idx="28">
                  <c:v>456</c:v>
                </c:pt>
                <c:pt idx="29">
                  <c:v>409</c:v>
                </c:pt>
              </c:numCache>
            </c:numRef>
          </c:val>
        </c:ser>
        <c:ser>
          <c:idx val="4"/>
          <c:order val="4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'M3- KWH'!$H$11:$H$40</c:f>
              <c:numCache>
                <c:formatCode>General</c:formatCode>
                <c:ptCount val="30"/>
              </c:numCache>
            </c:numRef>
          </c:val>
        </c:ser>
        <c:ser>
          <c:idx val="5"/>
          <c:order val="5"/>
          <c:spPr>
            <a:solidFill>
              <a:srgbClr val="70AD47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'M3- KWH'!$I$11:$I$40</c:f>
              <c:numCache>
                <c:formatCode>General</c:formatCode>
                <c:ptCount val="30"/>
              </c:numCache>
            </c:numRef>
          </c:val>
        </c:ser>
        <c:gapWidth val="150"/>
        <c:shape val="box"/>
        <c:axId val="19956099"/>
        <c:axId val="14859512"/>
        <c:axId val="0"/>
      </c:bar3DChart>
      <c:catAx>
        <c:axId val="199560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4859512"/>
        <c:crosses val="autoZero"/>
        <c:auto val="1"/>
        <c:lblAlgn val="ctr"/>
        <c:lblOffset val="100"/>
        <c:noMultiLvlLbl val="0"/>
      </c:catAx>
      <c:valAx>
        <c:axId val="1485951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19956099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88029050132174"/>
          <c:y val="0.89167927223175"/>
          <c:w val="0.540309692471237"/>
          <c:h val="0.083202992504564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9360</xdr:colOff>
      <xdr:row>43</xdr:row>
      <xdr:rowOff>90360</xdr:rowOff>
    </xdr:from>
    <xdr:to>
      <xdr:col>8</xdr:col>
      <xdr:colOff>352800</xdr:colOff>
      <xdr:row>59</xdr:row>
      <xdr:rowOff>75600</xdr:rowOff>
    </xdr:to>
    <xdr:graphicFrame>
      <xdr:nvGraphicFramePr>
        <xdr:cNvPr id="1" name="Gráfico 3"/>
        <xdr:cNvGraphicFramePr/>
      </xdr:nvGraphicFramePr>
      <xdr:xfrm>
        <a:off x="1704960" y="8399880"/>
        <a:ext cx="3156840" cy="3033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80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Q14" activeCellId="0" sqref="Q14"/>
    </sheetView>
  </sheetViews>
  <sheetFormatPr defaultColWidth="8.71484375" defaultRowHeight="15" customHeight="false" zeroHeight="false" outlineLevelRow="0" outlineLevelCol="0"/>
  <cols>
    <col collapsed="false" customWidth="false" hidden="false" outlineLevel="0" max="1" min="1" style="1" width="8.72"/>
    <col collapsed="false" customWidth="false" hidden="false" outlineLevel="0" max="5" min="2" style="2" width="8.72"/>
    <col collapsed="false" customWidth="true" hidden="false" outlineLevel="0" max="7" min="6" style="2" width="10.29"/>
    <col collapsed="false" customWidth="false" hidden="false" outlineLevel="0" max="8" min="8" style="2" width="8.72"/>
    <col collapsed="false" customWidth="true" hidden="false" outlineLevel="0" max="9" min="9" style="2" width="9.43"/>
    <col collapsed="false" customWidth="true" hidden="false" outlineLevel="0" max="10" min="10" style="2" width="9.57"/>
    <col collapsed="false" customWidth="true" hidden="false" outlineLevel="0" max="11" min="11" style="2" width="10.57"/>
    <col collapsed="false" customWidth="false" hidden="false" outlineLevel="0" max="12" min="12" style="2" width="8.72"/>
    <col collapsed="false" customWidth="true" hidden="false" outlineLevel="0" max="13" min="13" style="2" width="10.29"/>
    <col collapsed="false" customWidth="true" hidden="false" outlineLevel="0" max="14" min="14" style="2" width="10.71"/>
    <col collapsed="false" customWidth="false" hidden="false" outlineLevel="0" max="19" min="15" style="2" width="8.72"/>
    <col collapsed="false" customWidth="true" hidden="false" outlineLevel="0" max="20" min="20" style="2" width="10"/>
    <col collapsed="false" customWidth="true" hidden="false" outlineLevel="0" max="21" min="21" style="2" width="10.14"/>
    <col collapsed="false" customWidth="false" hidden="false" outlineLevel="0" max="16384" min="22" style="2" width="8.72"/>
  </cols>
  <sheetData>
    <row r="1" customFormat="false" ht="15" hidden="false" customHeight="false" outlineLevel="0" collapsed="false">
      <c r="A1" s="3" t="e">
        <f aca="false">#VALUE!</f>
        <v>#VALUE!</v>
      </c>
      <c r="B1" s="3"/>
      <c r="C1" s="3"/>
      <c r="D1" s="3"/>
      <c r="E1" s="3"/>
      <c r="F1" s="4" t="s">
        <v>0</v>
      </c>
      <c r="G1" s="4"/>
      <c r="H1" s="4"/>
      <c r="I1" s="4"/>
      <c r="J1" s="4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false" outlineLevel="0" collapsed="false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Format="false" ht="15" hidden="false" customHeight="false" outlineLevel="0" collapsed="false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customFormat="false" ht="15" hidden="false" customHeight="false" outlineLevel="0" collapsed="false">
      <c r="A4" s="3"/>
      <c r="B4" s="3"/>
      <c r="C4" s="3"/>
      <c r="D4" s="3"/>
      <c r="E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customFormat="false" ht="15" hidden="false" customHeight="false" outlineLevel="0" collapsed="false">
      <c r="A5" s="3"/>
      <c r="B5" s="3"/>
      <c r="C5" s="3"/>
      <c r="D5" s="3"/>
      <c r="E5" s="3"/>
      <c r="K5" s="1"/>
      <c r="L5" s="1"/>
      <c r="M5" s="1"/>
      <c r="N5" s="1"/>
      <c r="O5" s="1"/>
      <c r="P5" s="1"/>
      <c r="Q5" s="1"/>
      <c r="R5" s="1"/>
      <c r="S5" s="1"/>
      <c r="T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customFormat="false" ht="15" hidden="false" customHeight="false" outlineLevel="0" collapsed="false">
      <c r="A6" s="3"/>
      <c r="B6" s="3"/>
      <c r="C6" s="3"/>
      <c r="D6" s="3"/>
      <c r="E6" s="3"/>
      <c r="K6" s="1"/>
      <c r="L6" s="1"/>
      <c r="M6" s="1"/>
      <c r="N6" s="1"/>
      <c r="O6" s="1"/>
      <c r="P6" s="1"/>
      <c r="Q6" s="1"/>
      <c r="R6" s="1"/>
      <c r="S6" s="1"/>
      <c r="T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customFormat="false" ht="15" hidden="false" customHeight="false" outlineLevel="0" collapsed="false">
      <c r="A7" s="3"/>
      <c r="B7" s="3"/>
      <c r="C7" s="3"/>
      <c r="D7" s="3"/>
      <c r="E7" s="3"/>
      <c r="K7" s="1"/>
      <c r="L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customFormat="false" ht="15" hidden="false" customHeight="false" outlineLevel="0" collapsed="false">
      <c r="A8" s="3"/>
      <c r="B8" s="3"/>
      <c r="C8" s="3"/>
      <c r="D8" s="3"/>
      <c r="E8" s="3"/>
      <c r="K8" s="1"/>
      <c r="L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customFormat="false" ht="15" hidden="false" customHeight="false" outlineLevel="0" collapsed="false">
      <c r="A9" s="3"/>
      <c r="B9" s="3"/>
      <c r="C9" s="3"/>
      <c r="D9" s="3"/>
      <c r="E9" s="3"/>
      <c r="F9" s="5" t="s">
        <v>1</v>
      </c>
      <c r="G9" s="5"/>
      <c r="H9" s="5"/>
      <c r="K9" s="1"/>
      <c r="L9" s="1"/>
      <c r="M9" s="5" t="s">
        <v>2</v>
      </c>
      <c r="N9" s="5"/>
      <c r="O9" s="5"/>
      <c r="P9" s="1"/>
      <c r="Q9" s="1"/>
      <c r="R9" s="1"/>
      <c r="S9" s="1"/>
      <c r="T9" s="5" t="s">
        <v>3</v>
      </c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customFormat="false" ht="15" hidden="false" customHeight="false" outlineLevel="0" collapsed="false">
      <c r="A10" s="3"/>
      <c r="B10" s="3"/>
      <c r="C10" s="3"/>
      <c r="D10" s="3"/>
      <c r="E10" s="3"/>
      <c r="F10" s="5"/>
      <c r="G10" s="5"/>
      <c r="H10" s="5"/>
      <c r="K10" s="1"/>
      <c r="L10" s="1"/>
      <c r="M10" s="5"/>
      <c r="N10" s="5"/>
      <c r="O10" s="5"/>
      <c r="P10" s="1"/>
      <c r="Q10" s="1"/>
      <c r="R10" s="1"/>
      <c r="S10" s="1"/>
      <c r="T10" s="5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customFormat="false" ht="15" hidden="false" customHeight="false" outlineLevel="0" collapsed="false">
      <c r="E11" s="6" t="s">
        <v>4</v>
      </c>
      <c r="F11" s="6"/>
      <c r="G11" s="6"/>
      <c r="H11" s="6"/>
      <c r="I11" s="6"/>
      <c r="L11" s="6" t="s">
        <v>4</v>
      </c>
      <c r="M11" s="6"/>
      <c r="N11" s="6"/>
      <c r="O11" s="6"/>
      <c r="P11" s="6"/>
      <c r="S11" s="6" t="s">
        <v>4</v>
      </c>
      <c r="T11" s="6"/>
      <c r="U11" s="6"/>
      <c r="V11" s="6"/>
      <c r="W11" s="6"/>
      <c r="X11" s="1"/>
      <c r="Y11" s="1"/>
      <c r="Z11" s="1"/>
      <c r="AA11" s="1"/>
      <c r="AB11" s="1"/>
      <c r="AC11" s="1"/>
    </row>
    <row r="12" customFormat="false" ht="15" hidden="false" customHeight="false" outlineLevel="0" collapsed="false">
      <c r="E12" s="7" t="s">
        <v>5</v>
      </c>
      <c r="F12" s="8" t="s">
        <v>6</v>
      </c>
      <c r="G12" s="8" t="s">
        <v>7</v>
      </c>
      <c r="H12" s="8" t="s">
        <v>8</v>
      </c>
      <c r="I12" s="9" t="s">
        <v>9</v>
      </c>
      <c r="L12" s="7" t="s">
        <v>5</v>
      </c>
      <c r="M12" s="8" t="s">
        <v>6</v>
      </c>
      <c r="N12" s="8" t="s">
        <v>7</v>
      </c>
      <c r="O12" s="8" t="s">
        <v>8</v>
      </c>
      <c r="P12" s="9" t="s">
        <v>9</v>
      </c>
      <c r="S12" s="7" t="s">
        <v>5</v>
      </c>
      <c r="T12" s="8" t="s">
        <v>6</v>
      </c>
      <c r="U12" s="8" t="s">
        <v>7</v>
      </c>
      <c r="V12" s="8" t="s">
        <v>8</v>
      </c>
      <c r="W12" s="9" t="s">
        <v>9</v>
      </c>
      <c r="X12" s="1"/>
      <c r="Y12" s="1"/>
      <c r="Z12" s="1"/>
      <c r="AA12" s="1"/>
      <c r="AB12" s="1"/>
      <c r="AC12" s="1"/>
    </row>
    <row r="13" customFormat="false" ht="15" hidden="false" customHeight="false" outlineLevel="0" collapsed="false">
      <c r="A13" s="10" t="s">
        <v>10</v>
      </c>
      <c r="B13" s="10"/>
      <c r="C13" s="11" t="n">
        <v>25</v>
      </c>
      <c r="D13" s="12" t="s">
        <v>11</v>
      </c>
      <c r="E13" s="7" t="n">
        <v>1</v>
      </c>
      <c r="F13" s="13" t="n">
        <v>7</v>
      </c>
      <c r="G13" s="13" t="n">
        <v>3.5</v>
      </c>
      <c r="H13" s="13" t="n">
        <v>250</v>
      </c>
      <c r="I13" s="14" t="n">
        <v>200</v>
      </c>
      <c r="L13" s="7" t="n">
        <v>1</v>
      </c>
      <c r="M13" s="13" t="n">
        <v>3.5</v>
      </c>
      <c r="N13" s="13" t="n">
        <v>3.5</v>
      </c>
      <c r="O13" s="13" t="n">
        <v>0</v>
      </c>
      <c r="P13" s="14" t="n">
        <v>0</v>
      </c>
      <c r="S13" s="7" t="n">
        <v>1</v>
      </c>
      <c r="T13" s="13"/>
      <c r="U13" s="13"/>
      <c r="V13" s="13"/>
      <c r="W13" s="14"/>
      <c r="X13" s="1"/>
      <c r="Y13" s="1"/>
      <c r="Z13" s="1"/>
      <c r="AA13" s="1"/>
      <c r="AB13" s="1"/>
      <c r="AC13" s="1"/>
    </row>
    <row r="14" customFormat="false" ht="15" hidden="false" customHeight="false" outlineLevel="0" collapsed="false">
      <c r="A14" s="10" t="s">
        <v>12</v>
      </c>
      <c r="B14" s="10"/>
      <c r="C14" s="11" t="n">
        <v>25</v>
      </c>
      <c r="D14" s="12" t="s">
        <v>11</v>
      </c>
      <c r="E14" s="15" t="n">
        <v>2</v>
      </c>
      <c r="F14" s="16" t="n">
        <v>7</v>
      </c>
      <c r="G14" s="16" t="n">
        <v>3.5</v>
      </c>
      <c r="H14" s="16" t="n">
        <v>250</v>
      </c>
      <c r="I14" s="17" t="n">
        <v>200</v>
      </c>
      <c r="L14" s="15" t="n">
        <v>2</v>
      </c>
      <c r="M14" s="16"/>
      <c r="N14" s="16"/>
      <c r="O14" s="16"/>
      <c r="P14" s="17"/>
      <c r="S14" s="15" t="n">
        <v>2</v>
      </c>
      <c r="T14" s="18" t="s">
        <v>13</v>
      </c>
      <c r="U14" s="18" t="s">
        <v>13</v>
      </c>
      <c r="V14" s="18" t="s">
        <v>13</v>
      </c>
      <c r="W14" s="19" t="s">
        <v>13</v>
      </c>
      <c r="X14" s="1"/>
      <c r="Y14" s="1"/>
      <c r="Z14" s="1"/>
      <c r="AA14" s="1"/>
      <c r="AB14" s="1"/>
      <c r="AC14" s="1"/>
    </row>
    <row r="15" customFormat="false" ht="15" hidden="false" customHeight="false" outlineLevel="0" collapsed="false">
      <c r="A15" s="10" t="s">
        <v>14</v>
      </c>
      <c r="B15" s="10"/>
      <c r="C15" s="11" t="n">
        <v>25</v>
      </c>
      <c r="D15" s="12" t="s">
        <v>11</v>
      </c>
      <c r="E15" s="15" t="n">
        <v>3</v>
      </c>
      <c r="F15" s="16" t="n">
        <v>7.5</v>
      </c>
      <c r="G15" s="16" t="n">
        <v>7.5</v>
      </c>
      <c r="H15" s="16" t="n">
        <v>375</v>
      </c>
      <c r="I15" s="17" t="n">
        <v>100</v>
      </c>
      <c r="L15" s="15" t="n">
        <v>3</v>
      </c>
      <c r="M15" s="16"/>
      <c r="N15" s="16"/>
      <c r="O15" s="16"/>
      <c r="P15" s="17"/>
      <c r="S15" s="15" t="n">
        <v>3</v>
      </c>
      <c r="T15" s="16"/>
      <c r="U15" s="16"/>
      <c r="V15" s="16"/>
      <c r="W15" s="17"/>
      <c r="X15" s="1"/>
      <c r="Y15" s="1"/>
      <c r="Z15" s="1"/>
      <c r="AA15" s="1"/>
      <c r="AB15" s="1"/>
      <c r="AC15" s="1"/>
    </row>
    <row r="16" customFormat="false" ht="15" hidden="false" customHeight="false" outlineLevel="0" collapsed="false">
      <c r="A16" s="10" t="s">
        <v>15</v>
      </c>
      <c r="B16" s="10"/>
      <c r="C16" s="11" t="n">
        <v>20</v>
      </c>
      <c r="D16" s="12" t="s">
        <v>11</v>
      </c>
      <c r="E16" s="15" t="n">
        <v>4</v>
      </c>
      <c r="F16" s="16" t="n">
        <v>3.5</v>
      </c>
      <c r="G16" s="16" t="n">
        <v>0</v>
      </c>
      <c r="H16" s="16" t="n">
        <v>150</v>
      </c>
      <c r="I16" s="17" t="n">
        <v>0</v>
      </c>
      <c r="L16" s="15" t="n">
        <v>4</v>
      </c>
      <c r="M16" s="16"/>
      <c r="N16" s="16"/>
      <c r="O16" s="16"/>
      <c r="P16" s="17"/>
      <c r="S16" s="15" t="n">
        <v>4</v>
      </c>
      <c r="T16" s="16"/>
      <c r="U16" s="16"/>
      <c r="V16" s="16"/>
      <c r="W16" s="17"/>
      <c r="X16" s="1"/>
      <c r="Y16" s="1"/>
      <c r="Z16" s="1"/>
      <c r="AA16" s="1"/>
      <c r="AB16" s="1"/>
      <c r="AC16" s="1"/>
    </row>
    <row r="17" customFormat="false" ht="15" hidden="false" customHeight="false" outlineLevel="0" collapsed="false">
      <c r="E17" s="15" t="n">
        <v>5</v>
      </c>
      <c r="F17" s="16" t="n">
        <v>3.5</v>
      </c>
      <c r="G17" s="16" t="n">
        <v>3</v>
      </c>
      <c r="H17" s="16" t="n">
        <v>100</v>
      </c>
      <c r="I17" s="17" t="n">
        <v>0</v>
      </c>
      <c r="L17" s="15" t="n">
        <v>5</v>
      </c>
      <c r="M17" s="18" t="s">
        <v>13</v>
      </c>
      <c r="N17" s="18" t="s">
        <v>13</v>
      </c>
      <c r="O17" s="18" t="s">
        <v>13</v>
      </c>
      <c r="P17" s="19" t="s">
        <v>13</v>
      </c>
      <c r="S17" s="15" t="n">
        <v>5</v>
      </c>
      <c r="T17" s="16"/>
      <c r="U17" s="16"/>
      <c r="V17" s="16"/>
      <c r="W17" s="17"/>
      <c r="X17" s="1"/>
      <c r="Y17" s="1"/>
      <c r="Z17" s="1"/>
      <c r="AA17" s="1"/>
      <c r="AB17" s="1"/>
      <c r="AC17" s="1"/>
    </row>
    <row r="18" customFormat="false" ht="15" hidden="false" customHeight="false" outlineLevel="0" collapsed="false">
      <c r="E18" s="15" t="n">
        <v>6</v>
      </c>
      <c r="F18" s="16" t="n">
        <v>0</v>
      </c>
      <c r="G18" s="16" t="n">
        <v>0</v>
      </c>
      <c r="H18" s="16" t="n">
        <v>0</v>
      </c>
      <c r="I18" s="17" t="n">
        <v>0</v>
      </c>
      <c r="L18" s="15" t="n">
        <v>6</v>
      </c>
      <c r="M18" s="16"/>
      <c r="N18" s="16"/>
      <c r="O18" s="16"/>
      <c r="P18" s="17"/>
      <c r="S18" s="15" t="n">
        <v>6</v>
      </c>
      <c r="T18" s="16"/>
      <c r="U18" s="16"/>
      <c r="V18" s="16"/>
      <c r="W18" s="17"/>
      <c r="X18" s="1"/>
      <c r="Y18" s="1"/>
      <c r="Z18" s="1"/>
      <c r="AA18" s="1"/>
      <c r="AB18" s="1"/>
      <c r="AC18" s="1"/>
    </row>
    <row r="19" customFormat="false" ht="15" hidden="false" customHeight="false" outlineLevel="0" collapsed="false">
      <c r="E19" s="15" t="n">
        <v>7</v>
      </c>
      <c r="F19" s="18" t="s">
        <v>13</v>
      </c>
      <c r="G19" s="18" t="s">
        <v>13</v>
      </c>
      <c r="H19" s="18" t="s">
        <v>13</v>
      </c>
      <c r="I19" s="18" t="s">
        <v>13</v>
      </c>
      <c r="L19" s="15" t="n">
        <v>7</v>
      </c>
      <c r="M19" s="20"/>
      <c r="N19" s="20"/>
      <c r="O19" s="20"/>
      <c r="P19" s="21"/>
      <c r="S19" s="15" t="n">
        <v>7</v>
      </c>
      <c r="T19" s="20"/>
      <c r="U19" s="20"/>
      <c r="V19" s="20"/>
      <c r="W19" s="21"/>
      <c r="X19" s="1"/>
      <c r="Y19" s="1"/>
      <c r="Z19" s="1"/>
      <c r="AA19" s="1"/>
      <c r="AB19" s="1"/>
      <c r="AC19" s="1"/>
    </row>
    <row r="20" customFormat="false" ht="15" hidden="false" customHeight="false" outlineLevel="0" collapsed="false">
      <c r="E20" s="15" t="n">
        <v>8</v>
      </c>
      <c r="F20" s="16" t="n">
        <v>7</v>
      </c>
      <c r="G20" s="16" t="n">
        <v>3.5</v>
      </c>
      <c r="H20" s="16" t="n">
        <v>250</v>
      </c>
      <c r="I20" s="17" t="n">
        <v>0</v>
      </c>
      <c r="L20" s="15" t="n">
        <v>8</v>
      </c>
      <c r="M20" s="16"/>
      <c r="N20" s="16"/>
      <c r="O20" s="16"/>
      <c r="P20" s="17"/>
      <c r="S20" s="15" t="n">
        <v>8</v>
      </c>
      <c r="T20" s="16"/>
      <c r="U20" s="16"/>
      <c r="V20" s="16"/>
      <c r="W20" s="17"/>
      <c r="X20" s="1"/>
      <c r="Y20" s="1"/>
      <c r="Z20" s="1"/>
      <c r="AA20" s="1"/>
      <c r="AB20" s="1"/>
      <c r="AC20" s="1"/>
    </row>
    <row r="21" customFormat="false" ht="15" hidden="false" customHeight="false" outlineLevel="0" collapsed="false">
      <c r="E21" s="15" t="n">
        <v>9</v>
      </c>
      <c r="F21" s="16" t="n">
        <v>3.5</v>
      </c>
      <c r="G21" s="16" t="n">
        <v>3.5</v>
      </c>
      <c r="H21" s="16" t="n">
        <v>0</v>
      </c>
      <c r="I21" s="17" t="n">
        <v>0</v>
      </c>
      <c r="L21" s="15" t="n">
        <v>9</v>
      </c>
      <c r="M21" s="16"/>
      <c r="N21" s="16"/>
      <c r="O21" s="16"/>
      <c r="P21" s="17"/>
      <c r="S21" s="15" t="n">
        <v>9</v>
      </c>
      <c r="T21" s="18" t="s">
        <v>13</v>
      </c>
      <c r="U21" s="18" t="s">
        <v>13</v>
      </c>
      <c r="V21" s="18" t="s">
        <v>13</v>
      </c>
      <c r="W21" s="19" t="s">
        <v>13</v>
      </c>
      <c r="X21" s="1"/>
      <c r="Y21" s="1"/>
      <c r="Z21" s="1"/>
      <c r="AA21" s="1"/>
      <c r="AB21" s="1"/>
      <c r="AC21" s="1"/>
    </row>
    <row r="22" customFormat="false" ht="15" hidden="false" customHeight="false" outlineLevel="0" collapsed="false">
      <c r="E22" s="15" t="n">
        <v>10</v>
      </c>
      <c r="F22" s="16" t="n">
        <v>10</v>
      </c>
      <c r="G22" s="16" t="n">
        <v>3.5</v>
      </c>
      <c r="H22" s="16" t="n">
        <v>225</v>
      </c>
      <c r="I22" s="17" t="n">
        <v>220</v>
      </c>
      <c r="L22" s="15" t="n">
        <v>10</v>
      </c>
      <c r="M22" s="16"/>
      <c r="N22" s="16"/>
      <c r="O22" s="16"/>
      <c r="P22" s="17"/>
      <c r="S22" s="15" t="n">
        <v>10</v>
      </c>
      <c r="T22" s="16"/>
      <c r="U22" s="16"/>
      <c r="V22" s="16"/>
      <c r="W22" s="17"/>
      <c r="X22" s="1"/>
      <c r="Y22" s="1"/>
      <c r="Z22" s="1"/>
      <c r="AA22" s="1"/>
      <c r="AB22" s="1"/>
      <c r="AC22" s="1"/>
    </row>
    <row r="23" customFormat="false" ht="15" hidden="false" customHeight="false" outlineLevel="0" collapsed="false">
      <c r="E23" s="15" t="n">
        <v>11</v>
      </c>
      <c r="F23" s="16" t="n">
        <v>3.5</v>
      </c>
      <c r="G23" s="16" t="n">
        <v>3.5</v>
      </c>
      <c r="H23" s="16" t="n">
        <v>250</v>
      </c>
      <c r="I23" s="17" t="n">
        <v>0</v>
      </c>
      <c r="L23" s="15" t="n">
        <v>11</v>
      </c>
      <c r="M23" s="16"/>
      <c r="N23" s="16"/>
      <c r="O23" s="16"/>
      <c r="P23" s="17"/>
      <c r="S23" s="15" t="n">
        <v>11</v>
      </c>
      <c r="T23" s="16"/>
      <c r="U23" s="16"/>
      <c r="V23" s="16"/>
      <c r="W23" s="17"/>
      <c r="X23" s="1"/>
      <c r="Y23" s="1"/>
      <c r="Z23" s="1"/>
      <c r="AA23" s="1"/>
      <c r="AB23" s="1"/>
      <c r="AC23" s="1"/>
    </row>
    <row r="24" customFormat="false" ht="15" hidden="false" customHeight="false" outlineLevel="0" collapsed="false">
      <c r="E24" s="15" t="n">
        <v>12</v>
      </c>
      <c r="F24" s="16" t="n">
        <v>7</v>
      </c>
      <c r="G24" s="16" t="n">
        <v>3.5</v>
      </c>
      <c r="H24" s="16" t="n">
        <v>250</v>
      </c>
      <c r="I24" s="17" t="n">
        <v>200</v>
      </c>
      <c r="L24" s="15" t="n">
        <v>12</v>
      </c>
      <c r="M24" s="18" t="s">
        <v>13</v>
      </c>
      <c r="N24" s="18" t="s">
        <v>13</v>
      </c>
      <c r="O24" s="18" t="s">
        <v>13</v>
      </c>
      <c r="P24" s="19" t="s">
        <v>13</v>
      </c>
      <c r="S24" s="15" t="n">
        <v>12</v>
      </c>
      <c r="T24" s="16"/>
      <c r="U24" s="16"/>
      <c r="V24" s="16"/>
      <c r="W24" s="17"/>
      <c r="X24" s="1"/>
      <c r="Y24" s="1"/>
      <c r="Z24" s="1"/>
      <c r="AA24" s="1"/>
      <c r="AB24" s="1"/>
      <c r="AC24" s="1"/>
    </row>
    <row r="25" customFormat="false" ht="15" hidden="false" customHeight="false" outlineLevel="0" collapsed="false">
      <c r="E25" s="15" t="n">
        <v>13</v>
      </c>
      <c r="F25" s="16" t="n">
        <v>3.5</v>
      </c>
      <c r="G25" s="16" t="n">
        <v>3.5</v>
      </c>
      <c r="H25" s="16" t="n">
        <v>0</v>
      </c>
      <c r="I25" s="17" t="n">
        <v>0</v>
      </c>
      <c r="L25" s="15" t="n">
        <v>13</v>
      </c>
      <c r="M25" s="16"/>
      <c r="N25" s="16"/>
      <c r="O25" s="16"/>
      <c r="P25" s="17"/>
      <c r="S25" s="15" t="n">
        <v>13</v>
      </c>
      <c r="T25" s="16"/>
      <c r="U25" s="16"/>
      <c r="V25" s="16"/>
      <c r="W25" s="17"/>
      <c r="X25" s="1"/>
      <c r="Y25" s="1"/>
      <c r="Z25" s="1"/>
      <c r="AA25" s="1"/>
      <c r="AB25" s="1"/>
      <c r="AC25" s="1"/>
    </row>
    <row r="26" customFormat="false" ht="15" hidden="false" customHeight="false" outlineLevel="0" collapsed="false">
      <c r="E26" s="15" t="n">
        <v>14</v>
      </c>
      <c r="F26" s="18" t="s">
        <v>13</v>
      </c>
      <c r="G26" s="18" t="s">
        <v>13</v>
      </c>
      <c r="H26" s="18" t="s">
        <v>13</v>
      </c>
      <c r="I26" s="18" t="s">
        <v>13</v>
      </c>
      <c r="L26" s="15" t="n">
        <v>14</v>
      </c>
      <c r="M26" s="20"/>
      <c r="N26" s="20"/>
      <c r="O26" s="20"/>
      <c r="P26" s="21"/>
      <c r="S26" s="15" t="n">
        <v>14</v>
      </c>
      <c r="T26" s="20"/>
      <c r="U26" s="20"/>
      <c r="V26" s="20"/>
      <c r="W26" s="21"/>
      <c r="X26" s="1"/>
      <c r="Y26" s="1"/>
      <c r="Z26" s="1"/>
      <c r="AA26" s="1"/>
      <c r="AB26" s="1"/>
      <c r="AC26" s="1"/>
    </row>
    <row r="27" customFormat="false" ht="15" hidden="false" customHeight="false" outlineLevel="0" collapsed="false">
      <c r="E27" s="15" t="n">
        <v>15</v>
      </c>
      <c r="F27" s="16" t="n">
        <v>3</v>
      </c>
      <c r="G27" s="16" t="n">
        <v>1.5</v>
      </c>
      <c r="H27" s="16" t="n">
        <v>250</v>
      </c>
      <c r="I27" s="17" t="n">
        <v>240</v>
      </c>
      <c r="L27" s="15" t="n">
        <v>15</v>
      </c>
      <c r="M27" s="16"/>
      <c r="N27" s="16"/>
      <c r="O27" s="16"/>
      <c r="P27" s="17"/>
      <c r="S27" s="15" t="n">
        <v>15</v>
      </c>
      <c r="T27" s="16"/>
      <c r="U27" s="16"/>
      <c r="V27" s="16"/>
      <c r="W27" s="17"/>
      <c r="X27" s="1"/>
      <c r="Y27" s="1"/>
      <c r="Z27" s="1"/>
      <c r="AA27" s="1"/>
      <c r="AB27" s="1"/>
      <c r="AC27" s="1"/>
    </row>
    <row r="28" customFormat="false" ht="15" hidden="false" customHeight="false" outlineLevel="0" collapsed="false">
      <c r="E28" s="15" t="n">
        <v>16</v>
      </c>
      <c r="F28" s="16" t="n">
        <v>3.5</v>
      </c>
      <c r="G28" s="16" t="n">
        <v>3.5</v>
      </c>
      <c r="H28" s="16" t="n">
        <v>0</v>
      </c>
      <c r="I28" s="17" t="n">
        <v>0</v>
      </c>
      <c r="L28" s="15" t="n">
        <v>16</v>
      </c>
      <c r="M28" s="22"/>
      <c r="N28" s="22"/>
      <c r="O28" s="22"/>
      <c r="P28" s="23"/>
      <c r="Q28" s="24" t="s">
        <v>16</v>
      </c>
      <c r="R28" s="24"/>
      <c r="S28" s="15" t="n">
        <v>16</v>
      </c>
      <c r="T28" s="18" t="s">
        <v>13</v>
      </c>
      <c r="U28" s="18" t="s">
        <v>13</v>
      </c>
      <c r="V28" s="18" t="s">
        <v>13</v>
      </c>
      <c r="W28" s="19" t="s">
        <v>13</v>
      </c>
      <c r="X28" s="1"/>
      <c r="Y28" s="1"/>
      <c r="Z28" s="1"/>
      <c r="AA28" s="1"/>
      <c r="AB28" s="1"/>
      <c r="AC28" s="1"/>
    </row>
    <row r="29" customFormat="false" ht="15" hidden="false" customHeight="false" outlineLevel="0" collapsed="false">
      <c r="E29" s="15" t="n">
        <v>17</v>
      </c>
      <c r="F29" s="16" t="n">
        <v>7</v>
      </c>
      <c r="G29" s="16" t="n">
        <v>3</v>
      </c>
      <c r="H29" s="16" t="n">
        <v>250</v>
      </c>
      <c r="I29" s="17" t="n">
        <v>0</v>
      </c>
      <c r="L29" s="15" t="n">
        <v>17</v>
      </c>
      <c r="M29" s="16"/>
      <c r="N29" s="16"/>
      <c r="O29" s="16"/>
      <c r="P29" s="17"/>
      <c r="S29" s="15" t="n">
        <v>17</v>
      </c>
      <c r="T29" s="16"/>
      <c r="U29" s="16"/>
      <c r="V29" s="16"/>
      <c r="W29" s="17"/>
      <c r="X29" s="1"/>
      <c r="Y29" s="1"/>
      <c r="Z29" s="1"/>
      <c r="AA29" s="1"/>
      <c r="AB29" s="1"/>
      <c r="AC29" s="1"/>
    </row>
    <row r="30" customFormat="false" ht="15" hidden="false" customHeight="false" outlineLevel="0" collapsed="false">
      <c r="E30" s="15" t="n">
        <v>18</v>
      </c>
      <c r="F30" s="16" t="n">
        <v>3.5</v>
      </c>
      <c r="G30" s="16" t="n">
        <v>3</v>
      </c>
      <c r="H30" s="16" t="n">
        <v>0</v>
      </c>
      <c r="I30" s="17" t="n">
        <v>0</v>
      </c>
      <c r="L30" s="15" t="n">
        <v>18</v>
      </c>
      <c r="M30" s="16"/>
      <c r="N30" s="16"/>
      <c r="O30" s="16"/>
      <c r="P30" s="17"/>
      <c r="S30" s="15" t="n">
        <v>18</v>
      </c>
      <c r="T30" s="16"/>
      <c r="U30" s="16"/>
      <c r="V30" s="16"/>
      <c r="W30" s="17"/>
      <c r="X30" s="1"/>
      <c r="Y30" s="1"/>
      <c r="Z30" s="1"/>
      <c r="AA30" s="1"/>
      <c r="AB30" s="1"/>
      <c r="AC30" s="1"/>
    </row>
    <row r="31" customFormat="false" ht="15" hidden="false" customHeight="false" outlineLevel="0" collapsed="false">
      <c r="E31" s="15" t="n">
        <v>19</v>
      </c>
      <c r="F31" s="16" t="n">
        <v>10.5</v>
      </c>
      <c r="G31" s="16" t="n">
        <v>3</v>
      </c>
      <c r="H31" s="16" t="n">
        <v>500</v>
      </c>
      <c r="I31" s="17" t="n">
        <v>240</v>
      </c>
      <c r="L31" s="15" t="n">
        <v>19</v>
      </c>
      <c r="M31" s="18" t="s">
        <v>13</v>
      </c>
      <c r="N31" s="18" t="s">
        <v>13</v>
      </c>
      <c r="O31" s="18" t="s">
        <v>13</v>
      </c>
      <c r="P31" s="19" t="s">
        <v>13</v>
      </c>
      <c r="S31" s="15" t="n">
        <v>19</v>
      </c>
      <c r="T31" s="16"/>
      <c r="U31" s="16"/>
      <c r="V31" s="16"/>
      <c r="W31" s="17"/>
      <c r="X31" s="1"/>
      <c r="Y31" s="1"/>
      <c r="Z31" s="1"/>
      <c r="AA31" s="1"/>
      <c r="AB31" s="1"/>
      <c r="AC31" s="1"/>
    </row>
    <row r="32" customFormat="false" ht="15" hidden="false" customHeight="false" outlineLevel="0" collapsed="false">
      <c r="E32" s="15" t="n">
        <v>20</v>
      </c>
      <c r="F32" s="16" t="n">
        <v>0</v>
      </c>
      <c r="G32" s="16" t="n">
        <v>0</v>
      </c>
      <c r="H32" s="16" t="n">
        <v>0</v>
      </c>
      <c r="I32" s="17" t="n">
        <v>0</v>
      </c>
      <c r="L32" s="15" t="n">
        <v>20</v>
      </c>
      <c r="M32" s="16"/>
      <c r="N32" s="16"/>
      <c r="O32" s="16"/>
      <c r="P32" s="17"/>
      <c r="S32" s="15" t="n">
        <v>20</v>
      </c>
      <c r="T32" s="16"/>
      <c r="U32" s="16"/>
      <c r="V32" s="16"/>
      <c r="W32" s="17"/>
      <c r="X32" s="1"/>
      <c r="Y32" s="1"/>
      <c r="Z32" s="1"/>
      <c r="AA32" s="1"/>
      <c r="AB32" s="1"/>
      <c r="AC32" s="1"/>
    </row>
    <row r="33" customFormat="false" ht="15" hidden="false" customHeight="false" outlineLevel="0" collapsed="false">
      <c r="E33" s="15" t="n">
        <v>21</v>
      </c>
      <c r="F33" s="18" t="s">
        <v>13</v>
      </c>
      <c r="G33" s="18" t="s">
        <v>13</v>
      </c>
      <c r="H33" s="18" t="s">
        <v>13</v>
      </c>
      <c r="I33" s="18" t="s">
        <v>13</v>
      </c>
      <c r="L33" s="15" t="n">
        <v>21</v>
      </c>
      <c r="M33" s="20"/>
      <c r="N33" s="20"/>
      <c r="O33" s="20"/>
      <c r="P33" s="21"/>
      <c r="S33" s="15" t="n">
        <v>21</v>
      </c>
      <c r="T33" s="20"/>
      <c r="U33" s="20"/>
      <c r="V33" s="20"/>
      <c r="W33" s="21"/>
      <c r="X33" s="1"/>
      <c r="Y33" s="1"/>
      <c r="Z33" s="1"/>
      <c r="AA33" s="1"/>
      <c r="AB33" s="1"/>
      <c r="AC33" s="1"/>
    </row>
    <row r="34" customFormat="false" ht="15" hidden="false" customHeight="false" outlineLevel="0" collapsed="false">
      <c r="E34" s="15" t="n">
        <v>22</v>
      </c>
      <c r="F34" s="16" t="n">
        <v>7</v>
      </c>
      <c r="G34" s="16" t="n">
        <v>6</v>
      </c>
      <c r="H34" s="16" t="n">
        <v>0</v>
      </c>
      <c r="I34" s="17" t="n">
        <v>0</v>
      </c>
      <c r="L34" s="15" t="n">
        <v>22</v>
      </c>
      <c r="M34" s="16"/>
      <c r="N34" s="16"/>
      <c r="O34" s="16"/>
      <c r="P34" s="17"/>
      <c r="S34" s="15" t="n">
        <v>22</v>
      </c>
      <c r="T34" s="16"/>
      <c r="U34" s="16"/>
      <c r="V34" s="16"/>
      <c r="W34" s="17"/>
      <c r="X34" s="1"/>
      <c r="Y34" s="1"/>
      <c r="Z34" s="1"/>
      <c r="AA34" s="1"/>
      <c r="AB34" s="1"/>
      <c r="AC34" s="1"/>
    </row>
    <row r="35" customFormat="false" ht="15" hidden="false" customHeight="false" outlineLevel="0" collapsed="false">
      <c r="E35" s="15" t="n">
        <v>23</v>
      </c>
      <c r="F35" s="16" t="n">
        <v>10.5</v>
      </c>
      <c r="G35" s="16" t="n">
        <v>3</v>
      </c>
      <c r="H35" s="16" t="n">
        <v>250</v>
      </c>
      <c r="I35" s="17" t="n">
        <v>0</v>
      </c>
      <c r="L35" s="15" t="n">
        <v>23</v>
      </c>
      <c r="M35" s="16"/>
      <c r="N35" s="16"/>
      <c r="O35" s="16"/>
      <c r="P35" s="17"/>
      <c r="S35" s="15" t="n">
        <v>23</v>
      </c>
      <c r="T35" s="18" t="s">
        <v>13</v>
      </c>
      <c r="U35" s="18" t="s">
        <v>13</v>
      </c>
      <c r="V35" s="18" t="s">
        <v>13</v>
      </c>
      <c r="W35" s="19" t="s">
        <v>13</v>
      </c>
      <c r="X35" s="1"/>
    </row>
    <row r="36" customFormat="false" ht="15" hidden="false" customHeight="false" outlineLevel="0" collapsed="false">
      <c r="E36" s="15" t="n">
        <v>24</v>
      </c>
      <c r="F36" s="16" t="n">
        <v>3.5</v>
      </c>
      <c r="G36" s="16" t="n">
        <v>0</v>
      </c>
      <c r="H36" s="16" t="n">
        <v>0</v>
      </c>
      <c r="I36" s="17" t="n">
        <v>0</v>
      </c>
      <c r="L36" s="15" t="n">
        <v>24</v>
      </c>
      <c r="M36" s="16"/>
      <c r="N36" s="16"/>
      <c r="O36" s="16"/>
      <c r="P36" s="17"/>
      <c r="S36" s="15" t="n">
        <v>24</v>
      </c>
      <c r="T36" s="16"/>
      <c r="U36" s="16"/>
      <c r="V36" s="16"/>
      <c r="W36" s="17"/>
      <c r="X36" s="1"/>
    </row>
    <row r="37" customFormat="false" ht="15" hidden="false" customHeight="false" outlineLevel="0" collapsed="false">
      <c r="E37" s="15" t="n">
        <v>25</v>
      </c>
      <c r="F37" s="16" t="n">
        <v>7.5</v>
      </c>
      <c r="G37" s="16" t="n">
        <v>3</v>
      </c>
      <c r="H37" s="16" t="n">
        <v>250</v>
      </c>
      <c r="I37" s="17" t="n">
        <v>0</v>
      </c>
      <c r="L37" s="15" t="n">
        <v>25</v>
      </c>
      <c r="M37" s="16"/>
      <c r="N37" s="16"/>
      <c r="O37" s="16"/>
      <c r="P37" s="17"/>
      <c r="S37" s="15" t="n">
        <v>25</v>
      </c>
      <c r="T37" s="16"/>
      <c r="U37" s="16"/>
      <c r="V37" s="16"/>
      <c r="W37" s="17"/>
      <c r="X37" s="1"/>
    </row>
    <row r="38" customFormat="false" ht="15" hidden="false" customHeight="false" outlineLevel="0" collapsed="false">
      <c r="E38" s="15" t="n">
        <v>26</v>
      </c>
      <c r="F38" s="16" t="n">
        <v>3.5</v>
      </c>
      <c r="G38" s="16" t="n">
        <v>0</v>
      </c>
      <c r="H38" s="16" t="n">
        <v>0</v>
      </c>
      <c r="I38" s="17" t="n">
        <v>0</v>
      </c>
      <c r="L38" s="15" t="n">
        <v>26</v>
      </c>
      <c r="M38" s="18" t="s">
        <v>13</v>
      </c>
      <c r="N38" s="18" t="s">
        <v>13</v>
      </c>
      <c r="O38" s="18" t="s">
        <v>13</v>
      </c>
      <c r="P38" s="19" t="s">
        <v>13</v>
      </c>
      <c r="S38" s="15" t="n">
        <v>26</v>
      </c>
      <c r="T38" s="16"/>
      <c r="U38" s="16"/>
      <c r="V38" s="16"/>
      <c r="W38" s="17"/>
      <c r="X38" s="1"/>
    </row>
    <row r="39" customFormat="false" ht="15" hidden="false" customHeight="false" outlineLevel="0" collapsed="false">
      <c r="E39" s="15" t="n">
        <v>27</v>
      </c>
      <c r="F39" s="16" t="n">
        <v>0</v>
      </c>
      <c r="G39" s="16" t="n">
        <v>0</v>
      </c>
      <c r="H39" s="16" t="n">
        <v>0</v>
      </c>
      <c r="I39" s="17" t="n">
        <v>0</v>
      </c>
      <c r="L39" s="15" t="n">
        <v>27</v>
      </c>
      <c r="M39" s="16"/>
      <c r="N39" s="16"/>
      <c r="O39" s="16"/>
      <c r="P39" s="17"/>
      <c r="S39" s="15" t="n">
        <v>27</v>
      </c>
      <c r="T39" s="16"/>
      <c r="U39" s="16"/>
      <c r="V39" s="16"/>
      <c r="W39" s="17"/>
      <c r="X39" s="1"/>
    </row>
    <row r="40" customFormat="false" ht="15" hidden="false" customHeight="false" outlineLevel="0" collapsed="false">
      <c r="E40" s="15" t="n">
        <v>28</v>
      </c>
      <c r="F40" s="18" t="s">
        <v>13</v>
      </c>
      <c r="G40" s="18" t="s">
        <v>13</v>
      </c>
      <c r="H40" s="18" t="s">
        <v>13</v>
      </c>
      <c r="I40" s="18" t="s">
        <v>13</v>
      </c>
      <c r="L40" s="15" t="n">
        <v>28</v>
      </c>
      <c r="M40" s="20"/>
      <c r="N40" s="20"/>
      <c r="O40" s="20"/>
      <c r="P40" s="21"/>
      <c r="S40" s="15" t="n">
        <v>28</v>
      </c>
      <c r="T40" s="20"/>
      <c r="U40" s="20"/>
      <c r="V40" s="20"/>
      <c r="W40" s="21"/>
      <c r="X40" s="1"/>
    </row>
    <row r="41" customFormat="false" ht="15" hidden="false" customHeight="false" outlineLevel="0" collapsed="false">
      <c r="E41" s="15" t="n">
        <v>29</v>
      </c>
      <c r="F41" s="16" t="n">
        <v>0</v>
      </c>
      <c r="G41" s="16" t="n">
        <v>3.5</v>
      </c>
      <c r="H41" s="16" t="n">
        <v>250</v>
      </c>
      <c r="I41" s="17" t="n">
        <v>200</v>
      </c>
      <c r="L41" s="15" t="n">
        <v>29</v>
      </c>
      <c r="M41" s="16"/>
      <c r="N41" s="16"/>
      <c r="O41" s="16"/>
      <c r="P41" s="17"/>
      <c r="S41" s="15" t="n">
        <v>29</v>
      </c>
      <c r="T41" s="16"/>
      <c r="U41" s="16"/>
      <c r="V41" s="16"/>
      <c r="W41" s="17"/>
      <c r="X41" s="1"/>
    </row>
    <row r="42" customFormat="false" ht="15" hidden="false" customHeight="false" outlineLevel="0" collapsed="false">
      <c r="E42" s="15" t="n">
        <v>30</v>
      </c>
      <c r="F42" s="16" t="n">
        <v>3.5</v>
      </c>
      <c r="G42" s="16" t="n">
        <v>3.5</v>
      </c>
      <c r="H42" s="16" t="n">
        <v>0</v>
      </c>
      <c r="I42" s="17" t="n">
        <v>0</v>
      </c>
      <c r="L42" s="15" t="n">
        <v>30</v>
      </c>
      <c r="M42" s="16"/>
      <c r="N42" s="16"/>
      <c r="O42" s="16"/>
      <c r="P42" s="17"/>
      <c r="S42" s="15" t="n">
        <v>30</v>
      </c>
      <c r="T42" s="18" t="s">
        <v>13</v>
      </c>
      <c r="U42" s="18" t="s">
        <v>13</v>
      </c>
      <c r="V42" s="18" t="s">
        <v>13</v>
      </c>
      <c r="W42" s="19" t="s">
        <v>13</v>
      </c>
      <c r="X42" s="1"/>
    </row>
    <row r="43" customFormat="false" ht="15" hidden="false" customHeight="false" outlineLevel="0" collapsed="false">
      <c r="E43" s="25" t="n">
        <v>31</v>
      </c>
      <c r="F43" s="26" t="s">
        <v>13</v>
      </c>
      <c r="G43" s="26" t="s">
        <v>13</v>
      </c>
      <c r="H43" s="26" t="s">
        <v>13</v>
      </c>
      <c r="I43" s="26" t="s">
        <v>13</v>
      </c>
      <c r="L43" s="27" t="n">
        <v>31</v>
      </c>
      <c r="M43" s="28"/>
      <c r="N43" s="28"/>
      <c r="O43" s="28"/>
      <c r="P43" s="29"/>
      <c r="S43" s="27" t="n">
        <v>31</v>
      </c>
      <c r="T43" s="28"/>
      <c r="U43" s="28"/>
      <c r="V43" s="28"/>
      <c r="W43" s="29"/>
      <c r="X43" s="1"/>
    </row>
    <row r="44" customFormat="false" ht="15" hidden="false" customHeight="false" outlineLevel="0" collapsed="false">
      <c r="C44" s="30" t="s">
        <v>17</v>
      </c>
      <c r="D44" s="30"/>
      <c r="E44" s="30"/>
      <c r="F44" s="31" t="n">
        <f aca="false">SUM(F13:F43)</f>
        <v>126</v>
      </c>
      <c r="G44" s="32" t="n">
        <f aca="false">SUM(G13:G43)</f>
        <v>71.5</v>
      </c>
      <c r="H44" s="32" t="n">
        <f aca="false">SUM(H13:H43)</f>
        <v>3850</v>
      </c>
      <c r="I44" s="32" t="n">
        <f aca="false">SUM(I13:I43)</f>
        <v>1600</v>
      </c>
      <c r="J44" s="30" t="s">
        <v>17</v>
      </c>
      <c r="K44" s="30"/>
      <c r="L44" s="30"/>
      <c r="M44" s="31" t="n">
        <f aca="false">SUM(M13:M43)</f>
        <v>3.5</v>
      </c>
      <c r="N44" s="32" t="n">
        <f aca="false">SUM(N13:N43)</f>
        <v>3.5</v>
      </c>
      <c r="O44" s="32" t="n">
        <f aca="false">SUM(O13:O43)</f>
        <v>0</v>
      </c>
      <c r="P44" s="32" t="n">
        <f aca="false">SUM(P13:P43)</f>
        <v>0</v>
      </c>
      <c r="Q44" s="30" t="s">
        <v>17</v>
      </c>
      <c r="R44" s="30"/>
      <c r="S44" s="30"/>
      <c r="T44" s="31" t="n">
        <f aca="false">SUM(T13:T43)</f>
        <v>0</v>
      </c>
      <c r="U44" s="32" t="n">
        <f aca="false">SUM(U13:U43)</f>
        <v>0</v>
      </c>
      <c r="V44" s="32" t="n">
        <f aca="false">SUM(V13:V43)</f>
        <v>0</v>
      </c>
      <c r="W44" s="32" t="n">
        <f aca="false">SUM(W13:W43)</f>
        <v>0</v>
      </c>
      <c r="X44" s="1"/>
    </row>
    <row r="45" customFormat="false" ht="15" hidden="false" customHeight="false" outlineLevel="0" collapsed="false">
      <c r="C45" s="30" t="s">
        <v>18</v>
      </c>
      <c r="D45" s="30"/>
      <c r="E45" s="30"/>
      <c r="F45" s="33" t="n">
        <f aca="false">F44/C13</f>
        <v>5.04</v>
      </c>
      <c r="G45" s="34" t="n">
        <f aca="false">G44/C14</f>
        <v>2.86</v>
      </c>
      <c r="H45" s="34" t="n">
        <f aca="false">H44/C15</f>
        <v>154</v>
      </c>
      <c r="I45" s="34" t="n">
        <f aca="false">I44/C16</f>
        <v>80</v>
      </c>
      <c r="J45" s="30" t="s">
        <v>18</v>
      </c>
      <c r="K45" s="30"/>
      <c r="L45" s="30"/>
      <c r="M45" s="33" t="n">
        <f aca="false">M44/C13</f>
        <v>0.14</v>
      </c>
      <c r="N45" s="34" t="n">
        <f aca="false">N44/C14</f>
        <v>0.14</v>
      </c>
      <c r="O45" s="34" t="n">
        <f aca="false">O44/C15</f>
        <v>0</v>
      </c>
      <c r="P45" s="34" t="n">
        <f aca="false">P44/C16</f>
        <v>0</v>
      </c>
      <c r="Q45" s="30" t="s">
        <v>18</v>
      </c>
      <c r="R45" s="30"/>
      <c r="S45" s="30"/>
      <c r="T45" s="33" t="n">
        <f aca="false">T44/C13</f>
        <v>0</v>
      </c>
      <c r="U45" s="34" t="n">
        <f aca="false">U44/C14</f>
        <v>0</v>
      </c>
      <c r="V45" s="34" t="n">
        <f aca="false">V44/C15</f>
        <v>0</v>
      </c>
      <c r="W45" s="34" t="n">
        <f aca="false">W44/C16</f>
        <v>0</v>
      </c>
      <c r="X45" s="1"/>
    </row>
    <row r="46" customFormat="false" ht="15" hidden="false" customHeight="false" outlineLevel="0" collapsed="false">
      <c r="M46" s="1"/>
      <c r="W46" s="1"/>
      <c r="X46" s="1"/>
      <c r="Y46" s="1"/>
      <c r="Z46" s="1"/>
      <c r="AA46" s="1"/>
      <c r="AB46" s="1"/>
    </row>
    <row r="47" customFormat="false" ht="15" hidden="false" customHeight="false" outlineLevel="0" collapsed="false">
      <c r="M47" s="1"/>
      <c r="W47" s="1"/>
      <c r="X47" s="1"/>
      <c r="Y47" s="1"/>
      <c r="Z47" s="1"/>
      <c r="AA47" s="1"/>
      <c r="AB47" s="1"/>
    </row>
    <row r="48" customFormat="false" ht="15" hidden="false" customHeight="false" outlineLevel="0" collapsed="false">
      <c r="M48" s="1"/>
      <c r="W48" s="1"/>
      <c r="X48" s="1"/>
      <c r="Y48" s="1"/>
      <c r="Z48" s="1"/>
      <c r="AA48" s="1"/>
      <c r="AB48" s="1"/>
    </row>
    <row r="49" customFormat="false" ht="15" hidden="false" customHeight="false" outlineLevel="0" collapsed="false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customFormat="false" ht="15" hidden="false" customHeight="false" outlineLevel="0" collapsed="false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customFormat="false" ht="15" hidden="false" customHeight="false" outlineLevel="0" collapsed="false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customFormat="false" ht="15" hidden="false" customHeight="false" outlineLevel="0" collapsed="false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customFormat="false" ht="15" hidden="false" customHeight="false" outlineLevel="0" collapsed="false"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customFormat="false" ht="15" hidden="false" customHeight="false" outlineLevel="0" collapsed="false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customFormat="false" ht="15" hidden="false" customHeight="false" outlineLevel="0" collapsed="false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customFormat="false" ht="15" hidden="false" customHeight="false" outlineLevel="0" collapsed="false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customFormat="false" ht="15" hidden="false" customHeight="false" outlineLevel="0" collapsed="false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customFormat="false" ht="15" hidden="false" customHeight="false" outlineLevel="0" collapsed="false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customFormat="false" ht="15" hidden="false" customHeight="false" outlineLevel="0" collapsed="false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customFormat="false" ht="15" hidden="false" customHeight="false" outlineLevel="0" collapsed="false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customFormat="false" ht="15" hidden="false" customHeight="false" outlineLevel="0" collapsed="false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customFormat="false" ht="15" hidden="false" customHeight="false" outlineLevel="0" collapsed="false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customFormat="false" ht="15" hidden="false" customHeight="false" outlineLevel="0" collapsed="false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customFormat="false" ht="15" hidden="false" customHeight="false" outlineLevel="0" collapsed="false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customFormat="false" ht="15" hidden="false" customHeight="false" outlineLevel="0" collapsed="false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customFormat="false" ht="15" hidden="false" customHeight="false" outlineLevel="0" collapsed="false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customFormat="false" ht="15" hidden="false" customHeight="false" outlineLevel="0" collapsed="false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customFormat="false" ht="15" hidden="false" customHeight="false" outlineLevel="0" collapsed="false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customFormat="false" ht="15" hidden="false" customHeight="false" outlineLevel="0" collapsed="false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customFormat="false" ht="15" hidden="false" customHeight="false" outlineLevel="0" collapsed="false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customFormat="false" ht="15" hidden="false" customHeight="false" outlineLevel="0" collapsed="false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customFormat="false" ht="15" hidden="false" customHeight="false" outlineLevel="0" collapsed="false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customFormat="false" ht="15" hidden="false" customHeight="false" outlineLevel="0" collapsed="false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customFormat="false" ht="15" hidden="false" customHeight="false" outlineLevel="0" collapsed="false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customFormat="false" ht="15" hidden="false" customHeight="false" outlineLevel="0" collapsed="false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customFormat="false" ht="15" hidden="false" customHeight="false" outlineLevel="0" collapsed="false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customFormat="false" ht="15" hidden="false" customHeight="false" outlineLevel="0" collapsed="false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customFormat="false" ht="15" hidden="false" customHeight="false" outlineLevel="0" collapsed="false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customFormat="false" ht="15" hidden="false" customHeight="false" outlineLevel="0" collapsed="false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customFormat="false" ht="15" hidden="false" customHeight="false" outlineLevel="0" collapsed="false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</sheetData>
  <mergeCells count="19">
    <mergeCell ref="A1:E10"/>
    <mergeCell ref="F1:L3"/>
    <mergeCell ref="F9:H10"/>
    <mergeCell ref="M9:O10"/>
    <mergeCell ref="T9:V10"/>
    <mergeCell ref="E11:I11"/>
    <mergeCell ref="L11:P11"/>
    <mergeCell ref="S11:W11"/>
    <mergeCell ref="A13:B13"/>
    <mergeCell ref="A14:B14"/>
    <mergeCell ref="A15:B15"/>
    <mergeCell ref="A16:B16"/>
    <mergeCell ref="Q28:R28"/>
    <mergeCell ref="C44:E44"/>
    <mergeCell ref="J44:L44"/>
    <mergeCell ref="Q44:S44"/>
    <mergeCell ref="C45:E45"/>
    <mergeCell ref="J45:L45"/>
    <mergeCell ref="Q45:S45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B8" colorId="64" zoomScale="100" zoomScaleNormal="100" zoomScalePageLayoutView="100" workbookViewId="0">
      <selection pane="topLeft" activeCell="U17" activeCellId="0" sqref="U17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4" min="4" style="0" width="5.71"/>
    <col collapsed="false" customWidth="true" hidden="false" outlineLevel="0" max="5" min="5" style="0" width="5"/>
    <col collapsed="false" customWidth="true" hidden="false" outlineLevel="0" max="6" min="6" style="0" width="4.14"/>
    <col collapsed="false" customWidth="true" hidden="false" outlineLevel="0" max="7" min="7" style="0" width="5"/>
    <col collapsed="false" customWidth="true" hidden="false" outlineLevel="0" max="8" min="8" style="0" width="4.72"/>
    <col collapsed="false" customWidth="true" hidden="false" outlineLevel="0" max="9" min="9" style="0" width="4.43"/>
    <col collapsed="false" customWidth="true" hidden="false" outlineLevel="0" max="10" min="10" style="0" width="17.14"/>
    <col collapsed="false" customWidth="true" hidden="false" outlineLevel="0" max="11" min="11" style="0" width="9"/>
    <col collapsed="false" customWidth="true" hidden="false" outlineLevel="0" max="12" min="12" style="0" width="6"/>
    <col collapsed="false" customWidth="true" hidden="false" outlineLevel="0" max="13" min="13" style="0" width="6.14"/>
    <col collapsed="false" customWidth="true" hidden="false" outlineLevel="0" max="14" min="14" style="0" width="5.14"/>
    <col collapsed="false" customWidth="true" hidden="false" outlineLevel="0" max="15" min="15" style="0" width="5.71"/>
    <col collapsed="false" customWidth="true" hidden="false" outlineLevel="0" max="16" min="16" style="0" width="7"/>
    <col collapsed="false" customWidth="true" hidden="false" outlineLevel="0" max="17" min="17" style="0" width="5.29"/>
    <col collapsed="false" customWidth="true" hidden="false" outlineLevel="0" max="18" min="18" style="0" width="6.86"/>
    <col collapsed="false" customWidth="true" hidden="false" outlineLevel="0" max="19" min="19" style="0" width="9.71"/>
    <col collapsed="false" customWidth="true" hidden="false" outlineLevel="0" max="20" min="20" style="0" width="11.86"/>
    <col collapsed="false" customWidth="true" hidden="false" outlineLevel="0" max="21" min="21" style="0" width="9"/>
    <col collapsed="false" customWidth="true" hidden="false" outlineLevel="0" max="22" min="22" style="0" width="24.72"/>
    <col collapsed="false" customWidth="true" hidden="false" outlineLevel="0" max="23" min="23" style="0" width="9.14"/>
    <col collapsed="false" customWidth="true" hidden="false" outlineLevel="0" max="24" min="24" style="0" width="6.86"/>
  </cols>
  <sheetData>
    <row r="1" customFormat="false" ht="15" hidden="false" customHeight="false" outlineLevel="0" collapsed="false">
      <c r="A1" s="35" t="e">
        <f aca="false">#VALUE!</f>
        <v>#VALUE!</v>
      </c>
      <c r="B1" s="35"/>
      <c r="C1" s="35"/>
    </row>
    <row r="2" customFormat="false" ht="17.35" hidden="false" customHeight="false" outlineLevel="0" collapsed="false">
      <c r="A2" s="35"/>
      <c r="B2" s="35"/>
      <c r="C2" s="35"/>
      <c r="H2" s="36" t="n">
        <v>2026</v>
      </c>
      <c r="I2" s="36"/>
    </row>
    <row r="3" customFormat="false" ht="15" hidden="false" customHeight="true" outlineLevel="0" collapsed="false">
      <c r="A3" s="35"/>
      <c r="B3" s="35"/>
      <c r="C3" s="35"/>
      <c r="D3" s="37" t="s">
        <v>19</v>
      </c>
      <c r="E3" s="37"/>
      <c r="F3" s="37"/>
      <c r="G3" s="37"/>
      <c r="H3" s="37"/>
      <c r="I3" s="37"/>
    </row>
    <row r="4" customFormat="false" ht="15" hidden="false" customHeight="true" outlineLevel="0" collapsed="false">
      <c r="A4" s="35"/>
      <c r="B4" s="35"/>
      <c r="C4" s="35"/>
      <c r="D4" s="37"/>
      <c r="E4" s="37"/>
      <c r="F4" s="37"/>
      <c r="G4" s="37"/>
      <c r="H4" s="37"/>
      <c r="I4" s="37"/>
    </row>
    <row r="5" customFormat="false" ht="15.75" hidden="false" customHeight="true" outlineLevel="0" collapsed="false">
      <c r="A5" s="35"/>
      <c r="B5" s="35"/>
      <c r="C5" s="35"/>
      <c r="D5" s="37"/>
      <c r="E5" s="37"/>
      <c r="F5" s="37"/>
      <c r="G5" s="37"/>
      <c r="H5" s="37"/>
      <c r="I5" s="37"/>
    </row>
    <row r="6" customFormat="false" ht="15" hidden="false" customHeight="false" outlineLevel="0" collapsed="false">
      <c r="A6" s="35"/>
      <c r="B6" s="35"/>
      <c r="C6" s="35"/>
    </row>
    <row r="7" customFormat="false" ht="15" hidden="false" customHeight="false" outlineLevel="0" collapsed="false">
      <c r="A7" s="35"/>
      <c r="B7" s="35"/>
      <c r="C7" s="35"/>
      <c r="AG7" s="38" t="s">
        <v>3</v>
      </c>
      <c r="AH7" s="38"/>
      <c r="AI7" s="38"/>
      <c r="AJ7" s="38"/>
    </row>
    <row r="8" customFormat="false" ht="15.75" hidden="false" customHeight="true" outlineLevel="0" collapsed="false">
      <c r="A8" s="35"/>
      <c r="B8" s="35"/>
      <c r="C8" s="35"/>
      <c r="E8" s="39" t="s">
        <v>20</v>
      </c>
      <c r="F8" s="39"/>
      <c r="G8" s="39"/>
      <c r="H8" s="39"/>
      <c r="M8" s="38" t="s">
        <v>21</v>
      </c>
      <c r="N8" s="38"/>
      <c r="O8" s="38"/>
      <c r="P8" s="38"/>
      <c r="S8" s="40"/>
      <c r="T8" s="38" t="s">
        <v>22</v>
      </c>
      <c r="U8" s="38"/>
      <c r="V8" s="38"/>
      <c r="AG8" s="38"/>
      <c r="AH8" s="38"/>
      <c r="AI8" s="38"/>
      <c r="AJ8" s="38"/>
    </row>
    <row r="9" customFormat="false" ht="15.75" hidden="false" customHeight="true" outlineLevel="0" collapsed="false">
      <c r="A9" s="35"/>
      <c r="B9" s="35"/>
      <c r="C9" s="35"/>
      <c r="E9" s="39"/>
      <c r="F9" s="39"/>
      <c r="G9" s="39"/>
      <c r="H9" s="39"/>
      <c r="M9" s="38"/>
      <c r="N9" s="38"/>
      <c r="O9" s="38"/>
      <c r="P9" s="38"/>
      <c r="S9" s="40"/>
      <c r="T9" s="38"/>
      <c r="U9" s="38"/>
      <c r="V9" s="38"/>
      <c r="AD9" s="40"/>
      <c r="AE9" s="40"/>
      <c r="AF9" s="41" t="s">
        <v>23</v>
      </c>
      <c r="AG9" s="41"/>
      <c r="AH9" s="41"/>
      <c r="AI9" s="41" t="s">
        <v>24</v>
      </c>
      <c r="AJ9" s="41"/>
      <c r="AK9" s="41"/>
    </row>
    <row r="10" customFormat="false" ht="15" hidden="false" customHeight="false" outlineLevel="0" collapsed="false">
      <c r="A10" s="40"/>
      <c r="B10" s="40"/>
      <c r="C10" s="40"/>
      <c r="D10" s="41" t="s">
        <v>25</v>
      </c>
      <c r="E10" s="41"/>
      <c r="F10" s="41"/>
      <c r="G10" s="41" t="s">
        <v>24</v>
      </c>
      <c r="H10" s="41"/>
      <c r="I10" s="41"/>
      <c r="J10" s="40"/>
      <c r="K10" s="40"/>
      <c r="L10" s="41" t="s">
        <v>23</v>
      </c>
      <c r="M10" s="41"/>
      <c r="N10" s="41"/>
      <c r="O10" s="41" t="s">
        <v>24</v>
      </c>
      <c r="P10" s="41"/>
      <c r="Q10" s="41"/>
      <c r="S10" s="42" t="s">
        <v>26</v>
      </c>
      <c r="T10" s="42"/>
      <c r="U10" s="43" t="s">
        <v>27</v>
      </c>
      <c r="V10" s="44" t="s">
        <v>28</v>
      </c>
      <c r="W10" s="43" t="s">
        <v>24</v>
      </c>
      <c r="X10" s="40"/>
      <c r="Y10" s="2"/>
      <c r="AE10" s="45" t="n">
        <v>1</v>
      </c>
      <c r="AF10" s="46"/>
      <c r="AG10" s="46"/>
      <c r="AH10" s="46"/>
      <c r="AI10" s="47"/>
      <c r="AJ10" s="47"/>
      <c r="AK10" s="47"/>
    </row>
    <row r="11" customFormat="false" ht="15" hidden="false" customHeight="false" outlineLevel="0" collapsed="false">
      <c r="C11" s="45" t="n">
        <v>1</v>
      </c>
      <c r="D11" s="46" t="n">
        <v>221</v>
      </c>
      <c r="E11" s="46"/>
      <c r="F11" s="46"/>
      <c r="G11" s="47" t="n">
        <v>323</v>
      </c>
      <c r="H11" s="47"/>
      <c r="I11" s="47"/>
      <c r="K11" s="45" t="n">
        <v>1</v>
      </c>
      <c r="L11" s="46" t="n">
        <f aca="false">U11</f>
        <v>142</v>
      </c>
      <c r="M11" s="46"/>
      <c r="N11" s="46"/>
      <c r="O11" s="46" t="n">
        <f aca="false">W11</f>
        <v>336</v>
      </c>
      <c r="P11" s="46"/>
      <c r="Q11" s="46"/>
      <c r="R11" s="48" t="n">
        <v>1</v>
      </c>
      <c r="S11" s="49" t="n">
        <v>200398</v>
      </c>
      <c r="T11" s="49"/>
      <c r="U11" s="50" t="n">
        <f aca="false">S12-S11</f>
        <v>142</v>
      </c>
      <c r="V11" s="50" t="n">
        <v>1486198</v>
      </c>
      <c r="W11" s="51" t="n">
        <f aca="false">V12-V11</f>
        <v>336</v>
      </c>
      <c r="AE11" s="52" t="n">
        <v>2</v>
      </c>
      <c r="AF11" s="46"/>
      <c r="AG11" s="46"/>
      <c r="AH11" s="46"/>
      <c r="AI11" s="47"/>
      <c r="AJ11" s="47"/>
      <c r="AK11" s="47"/>
    </row>
    <row r="12" customFormat="false" ht="15" hidden="false" customHeight="false" outlineLevel="0" collapsed="false">
      <c r="C12" s="52" t="n">
        <v>2</v>
      </c>
      <c r="D12" s="46" t="n">
        <v>132</v>
      </c>
      <c r="E12" s="46"/>
      <c r="F12" s="46"/>
      <c r="G12" s="47" t="n">
        <v>300</v>
      </c>
      <c r="H12" s="47"/>
      <c r="I12" s="47"/>
      <c r="K12" s="52" t="n">
        <v>2</v>
      </c>
      <c r="L12" s="46" t="n">
        <f aca="false">U12</f>
        <v>-200540</v>
      </c>
      <c r="M12" s="46"/>
      <c r="N12" s="46"/>
      <c r="O12" s="46" t="n">
        <f aca="false">W12</f>
        <v>-1486534</v>
      </c>
      <c r="P12" s="46"/>
      <c r="Q12" s="46"/>
      <c r="R12" s="53" t="n">
        <v>2</v>
      </c>
      <c r="S12" s="54" t="n">
        <v>200540</v>
      </c>
      <c r="T12" s="54"/>
      <c r="U12" s="50" t="n">
        <f aca="false">S13-S12</f>
        <v>-200540</v>
      </c>
      <c r="V12" s="16" t="n">
        <v>1486534</v>
      </c>
      <c r="W12" s="51" t="n">
        <f aca="false">V13-V12</f>
        <v>-1486534</v>
      </c>
      <c r="AE12" s="52" t="n">
        <v>3</v>
      </c>
      <c r="AF12" s="46"/>
      <c r="AG12" s="46"/>
      <c r="AH12" s="46"/>
      <c r="AI12" s="47"/>
      <c r="AJ12" s="47"/>
      <c r="AK12" s="47"/>
    </row>
    <row r="13" customFormat="false" ht="15" hidden="false" customHeight="false" outlineLevel="0" collapsed="false">
      <c r="C13" s="52" t="n">
        <v>3</v>
      </c>
      <c r="D13" s="46" t="n">
        <v>163</v>
      </c>
      <c r="E13" s="46"/>
      <c r="F13" s="46"/>
      <c r="G13" s="47" t="n">
        <v>400</v>
      </c>
      <c r="H13" s="47"/>
      <c r="I13" s="47"/>
      <c r="K13" s="52" t="n">
        <v>3</v>
      </c>
      <c r="L13" s="46" t="n">
        <f aca="false">U13</f>
        <v>0</v>
      </c>
      <c r="M13" s="46"/>
      <c r="N13" s="46"/>
      <c r="O13" s="46" t="n">
        <f aca="false">W13</f>
        <v>0</v>
      </c>
      <c r="P13" s="46"/>
      <c r="Q13" s="46"/>
      <c r="R13" s="53" t="n">
        <v>3</v>
      </c>
      <c r="S13" s="54"/>
      <c r="T13" s="54"/>
      <c r="U13" s="16" t="n">
        <f aca="false">S14-S13</f>
        <v>0</v>
      </c>
      <c r="V13" s="16"/>
      <c r="W13" s="17" t="n">
        <f aca="false">V14-V13</f>
        <v>0</v>
      </c>
      <c r="AE13" s="52" t="n">
        <v>4</v>
      </c>
      <c r="AF13" s="46"/>
      <c r="AG13" s="46"/>
      <c r="AH13" s="46"/>
      <c r="AI13" s="47"/>
      <c r="AJ13" s="47"/>
      <c r="AK13" s="47"/>
    </row>
    <row r="14" customFormat="false" ht="15" hidden="false" customHeight="false" outlineLevel="0" collapsed="false">
      <c r="C14" s="52" t="n">
        <v>4</v>
      </c>
      <c r="D14" s="46" t="n">
        <v>85</v>
      </c>
      <c r="E14" s="46"/>
      <c r="F14" s="46"/>
      <c r="G14" s="47" t="n">
        <v>362</v>
      </c>
      <c r="H14" s="47"/>
      <c r="I14" s="47"/>
      <c r="K14" s="52" t="n">
        <v>4</v>
      </c>
      <c r="L14" s="46"/>
      <c r="M14" s="46"/>
      <c r="N14" s="46"/>
      <c r="O14" s="46"/>
      <c r="P14" s="46"/>
      <c r="Q14" s="46"/>
      <c r="R14" s="53" t="n">
        <v>4</v>
      </c>
      <c r="S14" s="54"/>
      <c r="T14" s="54"/>
      <c r="U14" s="16" t="n">
        <f aca="false">S15-S14</f>
        <v>0</v>
      </c>
      <c r="V14" s="16"/>
      <c r="W14" s="17" t="n">
        <f aca="false">V15-V14</f>
        <v>0</v>
      </c>
      <c r="AE14" s="52" t="n">
        <v>5</v>
      </c>
      <c r="AF14" s="46"/>
      <c r="AG14" s="46"/>
      <c r="AH14" s="46"/>
      <c r="AI14" s="47"/>
      <c r="AJ14" s="47"/>
      <c r="AK14" s="47"/>
    </row>
    <row r="15" customFormat="false" ht="15" hidden="false" customHeight="false" outlineLevel="0" collapsed="false">
      <c r="C15" s="52" t="n">
        <v>5</v>
      </c>
      <c r="D15" s="46" t="n">
        <v>202</v>
      </c>
      <c r="E15" s="46"/>
      <c r="F15" s="46"/>
      <c r="G15" s="47" t="n">
        <v>359</v>
      </c>
      <c r="H15" s="47"/>
      <c r="I15" s="47"/>
      <c r="K15" s="52" t="n">
        <v>5</v>
      </c>
      <c r="L15" s="55"/>
      <c r="M15" s="55"/>
      <c r="N15" s="55"/>
      <c r="O15" s="55"/>
      <c r="P15" s="55"/>
      <c r="Q15" s="55"/>
      <c r="R15" s="53" t="n">
        <v>5</v>
      </c>
      <c r="S15" s="56"/>
      <c r="T15" s="56"/>
      <c r="U15" s="57" t="n">
        <f aca="false">S16-S15</f>
        <v>0</v>
      </c>
      <c r="V15" s="57"/>
      <c r="W15" s="58" t="n">
        <f aca="false">V16-V15</f>
        <v>0</v>
      </c>
      <c r="AE15" s="52" t="n">
        <v>6</v>
      </c>
      <c r="AF15" s="46"/>
      <c r="AG15" s="46"/>
      <c r="AH15" s="46"/>
      <c r="AI15" s="47"/>
      <c r="AJ15" s="47"/>
      <c r="AK15" s="47"/>
    </row>
    <row r="16" customFormat="false" ht="15" hidden="false" customHeight="false" outlineLevel="0" collapsed="false">
      <c r="C16" s="52" t="n">
        <v>6</v>
      </c>
      <c r="D16" s="46" t="n">
        <v>43</v>
      </c>
      <c r="E16" s="46"/>
      <c r="F16" s="46"/>
      <c r="G16" s="47" t="n">
        <v>718</v>
      </c>
      <c r="H16" s="47"/>
      <c r="I16" s="47"/>
      <c r="K16" s="52" t="n">
        <v>6</v>
      </c>
      <c r="L16" s="46"/>
      <c r="M16" s="46"/>
      <c r="N16" s="46"/>
      <c r="O16" s="46"/>
      <c r="P16" s="46"/>
      <c r="Q16" s="46"/>
      <c r="R16" s="53" t="n">
        <v>6</v>
      </c>
      <c r="S16" s="54"/>
      <c r="T16" s="54"/>
      <c r="U16" s="16" t="n">
        <f aca="false">S17-S16</f>
        <v>0</v>
      </c>
      <c r="V16" s="16"/>
      <c r="W16" s="17" t="n">
        <f aca="false">V17-V16</f>
        <v>0</v>
      </c>
      <c r="AE16" s="52" t="n">
        <v>7</v>
      </c>
      <c r="AF16" s="46"/>
      <c r="AG16" s="46"/>
      <c r="AH16" s="46"/>
      <c r="AI16" s="47"/>
      <c r="AJ16" s="47"/>
      <c r="AK16" s="47"/>
    </row>
    <row r="17" customFormat="false" ht="15" hidden="false" customHeight="false" outlineLevel="0" collapsed="false">
      <c r="C17" s="52" t="n">
        <v>7</v>
      </c>
      <c r="D17" s="59" t="s">
        <v>13</v>
      </c>
      <c r="E17" s="59"/>
      <c r="F17" s="59"/>
      <c r="G17" s="60" t="s">
        <v>13</v>
      </c>
      <c r="H17" s="60"/>
      <c r="I17" s="60"/>
      <c r="K17" s="52" t="n">
        <v>7</v>
      </c>
      <c r="L17" s="46"/>
      <c r="M17" s="46"/>
      <c r="N17" s="46"/>
      <c r="O17" s="46"/>
      <c r="P17" s="46"/>
      <c r="Q17" s="46"/>
      <c r="R17" s="53" t="n">
        <v>7</v>
      </c>
      <c r="S17" s="54"/>
      <c r="T17" s="54"/>
      <c r="U17" s="16" t="n">
        <f aca="false">S18-S17</f>
        <v>0</v>
      </c>
      <c r="V17" s="16"/>
      <c r="W17" s="17" t="n">
        <f aca="false">V18-V17</f>
        <v>0</v>
      </c>
      <c r="AE17" s="52" t="n">
        <v>8</v>
      </c>
      <c r="AF17" s="46"/>
      <c r="AG17" s="46"/>
      <c r="AH17" s="46"/>
      <c r="AI17" s="47"/>
      <c r="AJ17" s="47"/>
      <c r="AK17" s="47"/>
    </row>
    <row r="18" customFormat="false" ht="15" hidden="false" customHeight="false" outlineLevel="0" collapsed="false">
      <c r="C18" s="52" t="n">
        <v>8</v>
      </c>
      <c r="D18" s="46" t="n">
        <v>172</v>
      </c>
      <c r="E18" s="46"/>
      <c r="F18" s="46"/>
      <c r="G18" s="47" t="n">
        <v>494</v>
      </c>
      <c r="H18" s="47"/>
      <c r="I18" s="47"/>
      <c r="K18" s="52" t="n">
        <v>8</v>
      </c>
      <c r="L18" s="46"/>
      <c r="M18" s="46"/>
      <c r="N18" s="46"/>
      <c r="O18" s="46"/>
      <c r="P18" s="46"/>
      <c r="Q18" s="46"/>
      <c r="R18" s="53" t="n">
        <v>8</v>
      </c>
      <c r="S18" s="54"/>
      <c r="T18" s="54"/>
      <c r="U18" s="16" t="n">
        <f aca="false">S19-S18</f>
        <v>0</v>
      </c>
      <c r="V18" s="16"/>
      <c r="W18" s="17" t="n">
        <f aca="false">V19-V18</f>
        <v>0</v>
      </c>
      <c r="AE18" s="52" t="n">
        <v>9</v>
      </c>
      <c r="AF18" s="46"/>
      <c r="AG18" s="46"/>
      <c r="AH18" s="46"/>
      <c r="AI18" s="47"/>
      <c r="AJ18" s="47"/>
      <c r="AK18" s="47"/>
    </row>
    <row r="19" customFormat="false" ht="15" hidden="false" customHeight="false" outlineLevel="0" collapsed="false">
      <c r="C19" s="52" t="n">
        <v>9</v>
      </c>
      <c r="D19" s="46" t="n">
        <v>81</v>
      </c>
      <c r="E19" s="46"/>
      <c r="F19" s="46"/>
      <c r="G19" s="47" t="n">
        <v>481</v>
      </c>
      <c r="H19" s="47"/>
      <c r="I19" s="47"/>
      <c r="K19" s="52" t="n">
        <v>9</v>
      </c>
      <c r="L19" s="46"/>
      <c r="M19" s="46"/>
      <c r="N19" s="46"/>
      <c r="O19" s="46"/>
      <c r="P19" s="46"/>
      <c r="Q19" s="46"/>
      <c r="R19" s="53" t="n">
        <v>9</v>
      </c>
      <c r="S19" s="54"/>
      <c r="T19" s="54"/>
      <c r="U19" s="16" t="n">
        <f aca="false">S20-S19</f>
        <v>0</v>
      </c>
      <c r="V19" s="16"/>
      <c r="W19" s="17" t="n">
        <f aca="false">V20-V19</f>
        <v>0</v>
      </c>
      <c r="AE19" s="52" t="n">
        <v>10</v>
      </c>
      <c r="AF19" s="46"/>
      <c r="AG19" s="46"/>
      <c r="AH19" s="46"/>
      <c r="AI19" s="47"/>
      <c r="AJ19" s="47"/>
      <c r="AK19" s="47"/>
    </row>
    <row r="20" customFormat="false" ht="15" hidden="false" customHeight="false" outlineLevel="0" collapsed="false">
      <c r="C20" s="52" t="n">
        <v>10</v>
      </c>
      <c r="D20" s="46" t="n">
        <v>141</v>
      </c>
      <c r="E20" s="46"/>
      <c r="F20" s="46"/>
      <c r="G20" s="47" t="n">
        <v>524</v>
      </c>
      <c r="H20" s="47"/>
      <c r="I20" s="47"/>
      <c r="K20" s="52" t="n">
        <v>10</v>
      </c>
      <c r="L20" s="46"/>
      <c r="M20" s="46"/>
      <c r="N20" s="46"/>
      <c r="O20" s="46"/>
      <c r="P20" s="46"/>
      <c r="Q20" s="46"/>
      <c r="R20" s="53" t="n">
        <v>10</v>
      </c>
      <c r="S20" s="54"/>
      <c r="T20" s="54"/>
      <c r="U20" s="16" t="n">
        <f aca="false">S21-S20</f>
        <v>0</v>
      </c>
      <c r="V20" s="16"/>
      <c r="W20" s="17" t="n">
        <f aca="false">V21-V20</f>
        <v>0</v>
      </c>
      <c r="AE20" s="52" t="n">
        <v>11</v>
      </c>
      <c r="AF20" s="46"/>
      <c r="AG20" s="46"/>
      <c r="AH20" s="46"/>
      <c r="AI20" s="47"/>
      <c r="AJ20" s="47"/>
      <c r="AK20" s="47"/>
    </row>
    <row r="21" customFormat="false" ht="15" hidden="false" customHeight="false" outlineLevel="0" collapsed="false">
      <c r="C21" s="52" t="n">
        <v>11</v>
      </c>
      <c r="D21" s="46" t="n">
        <v>129</v>
      </c>
      <c r="E21" s="46"/>
      <c r="F21" s="46"/>
      <c r="G21" s="47" t="n">
        <v>505</v>
      </c>
      <c r="H21" s="47"/>
      <c r="I21" s="47"/>
      <c r="K21" s="52" t="n">
        <v>11</v>
      </c>
      <c r="L21" s="46"/>
      <c r="M21" s="46"/>
      <c r="N21" s="46"/>
      <c r="O21" s="46"/>
      <c r="P21" s="46"/>
      <c r="Q21" s="46"/>
      <c r="R21" s="53" t="n">
        <v>11</v>
      </c>
      <c r="S21" s="54"/>
      <c r="T21" s="54"/>
      <c r="U21" s="16" t="n">
        <f aca="false">S22-S21</f>
        <v>0</v>
      </c>
      <c r="V21" s="16"/>
      <c r="W21" s="17" t="n">
        <f aca="false">V22-V21</f>
        <v>0</v>
      </c>
      <c r="AE21" s="52" t="n">
        <v>12</v>
      </c>
      <c r="AF21" s="46"/>
      <c r="AG21" s="46"/>
      <c r="AH21" s="46"/>
      <c r="AI21" s="47"/>
      <c r="AJ21" s="47"/>
      <c r="AK21" s="47"/>
    </row>
    <row r="22" customFormat="false" ht="15" hidden="false" customHeight="false" outlineLevel="0" collapsed="false">
      <c r="C22" s="52" t="n">
        <v>12</v>
      </c>
      <c r="D22" s="46" t="n">
        <v>117</v>
      </c>
      <c r="E22" s="46"/>
      <c r="F22" s="46"/>
      <c r="G22" s="47" t="n">
        <v>441</v>
      </c>
      <c r="H22" s="47"/>
      <c r="I22" s="47"/>
      <c r="K22" s="52" t="n">
        <v>12</v>
      </c>
      <c r="L22" s="55"/>
      <c r="M22" s="55"/>
      <c r="N22" s="55"/>
      <c r="O22" s="55"/>
      <c r="P22" s="55"/>
      <c r="Q22" s="55"/>
      <c r="R22" s="53" t="n">
        <v>12</v>
      </c>
      <c r="S22" s="56"/>
      <c r="T22" s="56"/>
      <c r="U22" s="58" t="n">
        <f aca="false">T23-T22</f>
        <v>0</v>
      </c>
      <c r="V22" s="57"/>
      <c r="W22" s="58" t="n">
        <f aca="false">V23-V22</f>
        <v>0</v>
      </c>
      <c r="AE22" s="52" t="n">
        <v>13</v>
      </c>
      <c r="AF22" s="46"/>
      <c r="AG22" s="46"/>
      <c r="AH22" s="46"/>
      <c r="AI22" s="47"/>
      <c r="AJ22" s="47"/>
      <c r="AK22" s="47"/>
    </row>
    <row r="23" customFormat="false" ht="15" hidden="false" customHeight="false" outlineLevel="0" collapsed="false">
      <c r="C23" s="52" t="n">
        <v>13</v>
      </c>
      <c r="D23" s="46" t="n">
        <v>39</v>
      </c>
      <c r="E23" s="46"/>
      <c r="F23" s="46"/>
      <c r="G23" s="47" t="n">
        <v>1083</v>
      </c>
      <c r="H23" s="47"/>
      <c r="I23" s="47"/>
      <c r="K23" s="52" t="n">
        <v>13</v>
      </c>
      <c r="L23" s="46"/>
      <c r="M23" s="46"/>
      <c r="N23" s="46"/>
      <c r="O23" s="46"/>
      <c r="P23" s="46"/>
      <c r="Q23" s="46"/>
      <c r="R23" s="53" t="n">
        <v>13</v>
      </c>
      <c r="S23" s="54"/>
      <c r="T23" s="54"/>
      <c r="U23" s="17" t="n">
        <f aca="false">T24-T23</f>
        <v>0</v>
      </c>
      <c r="V23" s="16"/>
      <c r="W23" s="17" t="n">
        <f aca="false">V24-V23</f>
        <v>0</v>
      </c>
      <c r="AE23" s="52" t="n">
        <v>14</v>
      </c>
      <c r="AF23" s="46"/>
      <c r="AG23" s="46"/>
      <c r="AH23" s="46"/>
      <c r="AI23" s="47"/>
      <c r="AJ23" s="47"/>
      <c r="AK23" s="47"/>
    </row>
    <row r="24" customFormat="false" ht="15" hidden="false" customHeight="false" outlineLevel="0" collapsed="false">
      <c r="C24" s="52" t="n">
        <v>14</v>
      </c>
      <c r="D24" s="59" t="s">
        <v>13</v>
      </c>
      <c r="E24" s="59"/>
      <c r="F24" s="59"/>
      <c r="G24" s="60" t="s">
        <v>13</v>
      </c>
      <c r="H24" s="60"/>
      <c r="I24" s="60"/>
      <c r="K24" s="52" t="n">
        <v>14</v>
      </c>
      <c r="L24" s="46"/>
      <c r="M24" s="46"/>
      <c r="N24" s="46"/>
      <c r="O24" s="46"/>
      <c r="P24" s="46"/>
      <c r="Q24" s="46"/>
      <c r="R24" s="53" t="n">
        <v>14</v>
      </c>
      <c r="S24" s="54"/>
      <c r="T24" s="54"/>
      <c r="U24" s="17" t="n">
        <f aca="false">T25-T24</f>
        <v>0</v>
      </c>
      <c r="V24" s="16"/>
      <c r="W24" s="17" t="n">
        <f aca="false">V25-V24</f>
        <v>0</v>
      </c>
      <c r="AE24" s="52" t="n">
        <v>15</v>
      </c>
      <c r="AF24" s="46"/>
      <c r="AG24" s="46"/>
      <c r="AH24" s="46"/>
      <c r="AI24" s="47"/>
      <c r="AJ24" s="47"/>
      <c r="AK24" s="47"/>
    </row>
    <row r="25" customFormat="false" ht="15" hidden="false" customHeight="false" outlineLevel="0" collapsed="false">
      <c r="C25" s="52" t="n">
        <v>15</v>
      </c>
      <c r="D25" s="46" t="n">
        <v>172</v>
      </c>
      <c r="E25" s="46"/>
      <c r="F25" s="46"/>
      <c r="G25" s="47" t="n">
        <v>511</v>
      </c>
      <c r="H25" s="47"/>
      <c r="I25" s="47"/>
      <c r="K25" s="52" t="n">
        <v>15</v>
      </c>
      <c r="L25" s="46"/>
      <c r="M25" s="46"/>
      <c r="N25" s="46"/>
      <c r="O25" s="46"/>
      <c r="P25" s="46"/>
      <c r="Q25" s="46"/>
      <c r="R25" s="53" t="n">
        <v>15</v>
      </c>
      <c r="S25" s="54"/>
      <c r="T25" s="54"/>
      <c r="U25" s="17" t="n">
        <f aca="false">T26-T25</f>
        <v>0</v>
      </c>
      <c r="V25" s="16"/>
      <c r="W25" s="17" t="n">
        <f aca="false">V26-V25</f>
        <v>0</v>
      </c>
      <c r="AE25" s="52" t="n">
        <v>16</v>
      </c>
      <c r="AF25" s="46"/>
      <c r="AG25" s="46"/>
      <c r="AH25" s="46"/>
      <c r="AI25" s="47"/>
      <c r="AJ25" s="47"/>
      <c r="AK25" s="47"/>
    </row>
    <row r="26" customFormat="false" ht="15" hidden="false" customHeight="false" outlineLevel="0" collapsed="false">
      <c r="C26" s="52" t="n">
        <v>16</v>
      </c>
      <c r="D26" s="46" t="n">
        <v>151</v>
      </c>
      <c r="E26" s="46"/>
      <c r="F26" s="46"/>
      <c r="G26" s="47" t="n">
        <v>617</v>
      </c>
      <c r="H26" s="47"/>
      <c r="I26" s="47"/>
      <c r="K26" s="52" t="n">
        <v>16</v>
      </c>
      <c r="L26" s="61"/>
      <c r="M26" s="61"/>
      <c r="N26" s="61"/>
      <c r="O26" s="61"/>
      <c r="P26" s="61"/>
      <c r="Q26" s="61"/>
      <c r="R26" s="53" t="n">
        <v>16</v>
      </c>
      <c r="S26" s="62"/>
      <c r="T26" s="62"/>
      <c r="U26" s="63" t="n">
        <f aca="false">T27-T26</f>
        <v>0</v>
      </c>
      <c r="V26" s="64"/>
      <c r="W26" s="63" t="n">
        <f aca="false">V27-V26</f>
        <v>0</v>
      </c>
      <c r="AE26" s="52" t="n">
        <v>17</v>
      </c>
      <c r="AF26" s="46"/>
      <c r="AG26" s="46"/>
      <c r="AH26" s="46"/>
      <c r="AI26" s="47"/>
      <c r="AJ26" s="47"/>
      <c r="AK26" s="47"/>
    </row>
    <row r="27" customFormat="false" ht="15" hidden="false" customHeight="false" outlineLevel="0" collapsed="false">
      <c r="C27" s="52" t="n">
        <v>17</v>
      </c>
      <c r="D27" s="46" t="n">
        <v>105</v>
      </c>
      <c r="E27" s="46"/>
      <c r="F27" s="46"/>
      <c r="G27" s="47" t="n">
        <v>596</v>
      </c>
      <c r="H27" s="47"/>
      <c r="I27" s="47"/>
      <c r="K27" s="52" t="n">
        <v>17</v>
      </c>
      <c r="L27" s="46"/>
      <c r="M27" s="46"/>
      <c r="N27" s="46"/>
      <c r="O27" s="46"/>
      <c r="P27" s="46"/>
      <c r="Q27" s="46"/>
      <c r="R27" s="53" t="n">
        <v>17</v>
      </c>
      <c r="S27" s="54"/>
      <c r="T27" s="54"/>
      <c r="U27" s="17" t="n">
        <f aca="false">T28-T27</f>
        <v>0</v>
      </c>
      <c r="V27" s="16"/>
      <c r="W27" s="17" t="n">
        <f aca="false">V28-V27</f>
        <v>0</v>
      </c>
      <c r="AE27" s="52" t="n">
        <v>18</v>
      </c>
      <c r="AF27" s="46"/>
      <c r="AG27" s="46"/>
      <c r="AH27" s="46"/>
      <c r="AI27" s="47"/>
      <c r="AJ27" s="47"/>
      <c r="AK27" s="47"/>
    </row>
    <row r="28" customFormat="false" ht="15" hidden="false" customHeight="false" outlineLevel="0" collapsed="false">
      <c r="C28" s="52" t="n">
        <v>18</v>
      </c>
      <c r="D28" s="46" t="n">
        <v>111</v>
      </c>
      <c r="E28" s="46"/>
      <c r="F28" s="46"/>
      <c r="G28" s="47" t="n">
        <v>525</v>
      </c>
      <c r="H28" s="47"/>
      <c r="I28" s="47"/>
      <c r="K28" s="52" t="n">
        <v>18</v>
      </c>
      <c r="L28" s="46"/>
      <c r="M28" s="46"/>
      <c r="N28" s="46"/>
      <c r="O28" s="46"/>
      <c r="P28" s="46"/>
      <c r="Q28" s="46"/>
      <c r="R28" s="53" t="n">
        <v>18</v>
      </c>
      <c r="S28" s="54"/>
      <c r="T28" s="54"/>
      <c r="U28" s="17" t="n">
        <f aca="false">T29-T28</f>
        <v>0</v>
      </c>
      <c r="V28" s="16"/>
      <c r="W28" s="17" t="n">
        <f aca="false">V29-V28</f>
        <v>0</v>
      </c>
      <c r="AE28" s="52" t="n">
        <v>19</v>
      </c>
      <c r="AF28" s="46"/>
      <c r="AG28" s="46"/>
      <c r="AH28" s="46"/>
      <c r="AI28" s="47"/>
      <c r="AJ28" s="47"/>
      <c r="AK28" s="47"/>
    </row>
    <row r="29" customFormat="false" ht="15" hidden="false" customHeight="false" outlineLevel="0" collapsed="false">
      <c r="C29" s="52" t="n">
        <v>19</v>
      </c>
      <c r="D29" s="46" t="n">
        <v>191</v>
      </c>
      <c r="E29" s="46"/>
      <c r="F29" s="46"/>
      <c r="G29" s="47" t="n">
        <v>608</v>
      </c>
      <c r="H29" s="47"/>
      <c r="I29" s="47"/>
      <c r="K29" s="52" t="n">
        <v>19</v>
      </c>
      <c r="L29" s="55"/>
      <c r="M29" s="55"/>
      <c r="N29" s="55"/>
      <c r="O29" s="55"/>
      <c r="P29" s="55"/>
      <c r="Q29" s="55"/>
      <c r="R29" s="53" t="n">
        <v>19</v>
      </c>
      <c r="S29" s="56"/>
      <c r="T29" s="56"/>
      <c r="U29" s="58" t="n">
        <f aca="false">T30-T29</f>
        <v>0</v>
      </c>
      <c r="V29" s="57"/>
      <c r="W29" s="58" t="n">
        <f aca="false">V30-V29</f>
        <v>0</v>
      </c>
      <c r="AE29" s="52" t="n">
        <v>20</v>
      </c>
      <c r="AF29" s="46"/>
      <c r="AG29" s="46"/>
      <c r="AH29" s="46"/>
      <c r="AI29" s="47"/>
      <c r="AJ29" s="47"/>
      <c r="AK29" s="47"/>
    </row>
    <row r="30" customFormat="false" ht="15" hidden="false" customHeight="false" outlineLevel="0" collapsed="false">
      <c r="C30" s="52" t="n">
        <v>20</v>
      </c>
      <c r="D30" s="46" t="n">
        <v>57</v>
      </c>
      <c r="E30" s="46"/>
      <c r="F30" s="46"/>
      <c r="G30" s="47" t="n">
        <v>1072</v>
      </c>
      <c r="H30" s="47"/>
      <c r="I30" s="47"/>
      <c r="K30" s="52" t="n">
        <v>20</v>
      </c>
      <c r="L30" s="46"/>
      <c r="M30" s="46"/>
      <c r="N30" s="46"/>
      <c r="O30" s="46"/>
      <c r="P30" s="46"/>
      <c r="Q30" s="46"/>
      <c r="R30" s="53" t="n">
        <v>20</v>
      </c>
      <c r="S30" s="54"/>
      <c r="T30" s="54"/>
      <c r="U30" s="17" t="n">
        <f aca="false">T31-T30</f>
        <v>0</v>
      </c>
      <c r="V30" s="16"/>
      <c r="W30" s="17" t="n">
        <f aca="false">V31-V30</f>
        <v>0</v>
      </c>
      <c r="AE30" s="52" t="n">
        <v>21</v>
      </c>
      <c r="AF30" s="46"/>
      <c r="AG30" s="46"/>
      <c r="AH30" s="46"/>
      <c r="AI30" s="47"/>
      <c r="AJ30" s="47"/>
      <c r="AK30" s="47"/>
    </row>
    <row r="31" customFormat="false" ht="15" hidden="false" customHeight="false" outlineLevel="0" collapsed="false">
      <c r="C31" s="52" t="n">
        <v>21</v>
      </c>
      <c r="D31" s="59" t="s">
        <v>13</v>
      </c>
      <c r="E31" s="59"/>
      <c r="F31" s="59"/>
      <c r="G31" s="60" t="s">
        <v>13</v>
      </c>
      <c r="H31" s="60"/>
      <c r="I31" s="60"/>
      <c r="K31" s="52" t="n">
        <v>21</v>
      </c>
      <c r="L31" s="46"/>
      <c r="M31" s="46"/>
      <c r="N31" s="46"/>
      <c r="O31" s="46"/>
      <c r="P31" s="46"/>
      <c r="Q31" s="46"/>
      <c r="R31" s="53" t="n">
        <v>21</v>
      </c>
      <c r="S31" s="54"/>
      <c r="T31" s="54"/>
      <c r="U31" s="17" t="n">
        <f aca="false">T32-T31</f>
        <v>0</v>
      </c>
      <c r="V31" s="16"/>
      <c r="W31" s="17" t="n">
        <f aca="false">V32-V31</f>
        <v>0</v>
      </c>
      <c r="AE31" s="52" t="n">
        <v>22</v>
      </c>
      <c r="AF31" s="46"/>
      <c r="AG31" s="46"/>
      <c r="AH31" s="46"/>
      <c r="AI31" s="47"/>
      <c r="AJ31" s="47"/>
      <c r="AK31" s="47"/>
    </row>
    <row r="32" customFormat="false" ht="15" hidden="false" customHeight="false" outlineLevel="0" collapsed="false">
      <c r="C32" s="52" t="n">
        <v>22</v>
      </c>
      <c r="D32" s="46" t="n">
        <v>134</v>
      </c>
      <c r="E32" s="46"/>
      <c r="F32" s="46"/>
      <c r="G32" s="47" t="n">
        <v>419</v>
      </c>
      <c r="H32" s="47"/>
      <c r="I32" s="47"/>
      <c r="K32" s="52" t="n">
        <v>22</v>
      </c>
      <c r="L32" s="46"/>
      <c r="M32" s="46"/>
      <c r="N32" s="46"/>
      <c r="O32" s="46"/>
      <c r="P32" s="46"/>
      <c r="Q32" s="46"/>
      <c r="R32" s="53" t="n">
        <v>22</v>
      </c>
      <c r="S32" s="54"/>
      <c r="T32" s="54"/>
      <c r="U32" s="17" t="n">
        <f aca="false">T33-T32</f>
        <v>0</v>
      </c>
      <c r="V32" s="16"/>
      <c r="W32" s="17" t="n">
        <f aca="false">V33-V32</f>
        <v>0</v>
      </c>
      <c r="AE32" s="52" t="n">
        <v>23</v>
      </c>
      <c r="AF32" s="46"/>
      <c r="AG32" s="46"/>
      <c r="AH32" s="46"/>
      <c r="AI32" s="47"/>
      <c r="AJ32" s="47"/>
      <c r="AK32" s="47"/>
    </row>
    <row r="33" customFormat="false" ht="15" hidden="false" customHeight="false" outlineLevel="0" collapsed="false">
      <c r="C33" s="52" t="n">
        <v>23</v>
      </c>
      <c r="D33" s="46" t="n">
        <v>130</v>
      </c>
      <c r="E33" s="46"/>
      <c r="F33" s="46"/>
      <c r="G33" s="47" t="n">
        <v>415</v>
      </c>
      <c r="H33" s="47"/>
      <c r="I33" s="47"/>
      <c r="K33" s="52" t="n">
        <v>23</v>
      </c>
      <c r="L33" s="46"/>
      <c r="M33" s="46"/>
      <c r="N33" s="46"/>
      <c r="O33" s="46"/>
      <c r="P33" s="46"/>
      <c r="Q33" s="46"/>
      <c r="R33" s="53" t="n">
        <v>23</v>
      </c>
      <c r="S33" s="54"/>
      <c r="T33" s="54"/>
      <c r="U33" s="17" t="n">
        <f aca="false">T34-T33</f>
        <v>0</v>
      </c>
      <c r="V33" s="16"/>
      <c r="W33" s="17" t="n">
        <f aca="false">V34-V33</f>
        <v>0</v>
      </c>
      <c r="AE33" s="52" t="n">
        <v>24</v>
      </c>
      <c r="AF33" s="46"/>
      <c r="AG33" s="46"/>
      <c r="AH33" s="46"/>
      <c r="AI33" s="47"/>
      <c r="AJ33" s="47"/>
      <c r="AK33" s="47"/>
    </row>
    <row r="34" customFormat="false" ht="15" hidden="false" customHeight="false" outlineLevel="0" collapsed="false">
      <c r="C34" s="52" t="n">
        <v>24</v>
      </c>
      <c r="D34" s="46" t="n">
        <v>186</v>
      </c>
      <c r="E34" s="46"/>
      <c r="F34" s="46"/>
      <c r="G34" s="47" t="n">
        <v>462</v>
      </c>
      <c r="H34" s="47"/>
      <c r="I34" s="47"/>
      <c r="K34" s="52" t="n">
        <v>24</v>
      </c>
      <c r="L34" s="46"/>
      <c r="M34" s="46"/>
      <c r="N34" s="46"/>
      <c r="O34" s="46"/>
      <c r="P34" s="46"/>
      <c r="Q34" s="46"/>
      <c r="R34" s="53" t="n">
        <v>24</v>
      </c>
      <c r="S34" s="54"/>
      <c r="T34" s="54"/>
      <c r="U34" s="17" t="n">
        <f aca="false">T35-T34</f>
        <v>0</v>
      </c>
      <c r="V34" s="16"/>
      <c r="W34" s="17" t="n">
        <f aca="false">V35-V34</f>
        <v>0</v>
      </c>
      <c r="AE34" s="52" t="n">
        <v>25</v>
      </c>
      <c r="AF34" s="46"/>
      <c r="AG34" s="46"/>
      <c r="AH34" s="46"/>
      <c r="AI34" s="47"/>
      <c r="AJ34" s="47"/>
      <c r="AK34" s="47"/>
    </row>
    <row r="35" customFormat="false" ht="15" hidden="false" customHeight="false" outlineLevel="0" collapsed="false">
      <c r="C35" s="52" t="n">
        <v>25</v>
      </c>
      <c r="D35" s="46" t="n">
        <v>137</v>
      </c>
      <c r="E35" s="46"/>
      <c r="F35" s="46"/>
      <c r="G35" s="47" t="n">
        <v>416</v>
      </c>
      <c r="H35" s="47"/>
      <c r="I35" s="47"/>
      <c r="K35" s="52" t="n">
        <v>25</v>
      </c>
      <c r="L35" s="46"/>
      <c r="M35" s="46"/>
      <c r="N35" s="46"/>
      <c r="O35" s="46"/>
      <c r="P35" s="46"/>
      <c r="Q35" s="46"/>
      <c r="R35" s="53" t="n">
        <v>25</v>
      </c>
      <c r="S35" s="54"/>
      <c r="T35" s="54"/>
      <c r="U35" s="17" t="n">
        <f aca="false">T36-T35</f>
        <v>0</v>
      </c>
      <c r="V35" s="16"/>
      <c r="W35" s="17" t="n">
        <f aca="false">V36-V35</f>
        <v>0</v>
      </c>
      <c r="AE35" s="52" t="n">
        <v>26</v>
      </c>
      <c r="AF35" s="46"/>
      <c r="AG35" s="46"/>
      <c r="AH35" s="46"/>
      <c r="AI35" s="47"/>
      <c r="AJ35" s="47"/>
      <c r="AK35" s="47"/>
    </row>
    <row r="36" customFormat="false" ht="15" hidden="false" customHeight="false" outlineLevel="0" collapsed="false">
      <c r="C36" s="52" t="n">
        <v>26</v>
      </c>
      <c r="D36" s="46" t="n">
        <v>110</v>
      </c>
      <c r="E36" s="46"/>
      <c r="F36" s="46"/>
      <c r="G36" s="47" t="n">
        <v>399</v>
      </c>
      <c r="H36" s="47"/>
      <c r="I36" s="47"/>
      <c r="K36" s="52" t="n">
        <v>26</v>
      </c>
      <c r="L36" s="55"/>
      <c r="M36" s="55"/>
      <c r="N36" s="55"/>
      <c r="O36" s="55"/>
      <c r="P36" s="55"/>
      <c r="Q36" s="55"/>
      <c r="R36" s="53" t="n">
        <v>26</v>
      </c>
      <c r="S36" s="56"/>
      <c r="T36" s="56"/>
      <c r="U36" s="58" t="n">
        <f aca="false">T37-T36</f>
        <v>0</v>
      </c>
      <c r="V36" s="57"/>
      <c r="W36" s="58" t="n">
        <f aca="false">V37-V36</f>
        <v>0</v>
      </c>
      <c r="AE36" s="52" t="n">
        <v>27</v>
      </c>
      <c r="AF36" s="46"/>
      <c r="AG36" s="46"/>
      <c r="AH36" s="46"/>
      <c r="AI36" s="47"/>
      <c r="AJ36" s="47"/>
      <c r="AK36" s="47"/>
    </row>
    <row r="37" customFormat="false" ht="15" hidden="false" customHeight="false" outlineLevel="0" collapsed="false">
      <c r="C37" s="52" t="n">
        <v>27</v>
      </c>
      <c r="D37" s="46" t="n">
        <v>20</v>
      </c>
      <c r="E37" s="46"/>
      <c r="F37" s="46"/>
      <c r="G37" s="47" t="n">
        <v>1073</v>
      </c>
      <c r="H37" s="47"/>
      <c r="I37" s="47"/>
      <c r="K37" s="52" t="n">
        <v>27</v>
      </c>
      <c r="L37" s="46"/>
      <c r="M37" s="46"/>
      <c r="N37" s="46"/>
      <c r="O37" s="46"/>
      <c r="P37" s="46"/>
      <c r="Q37" s="46"/>
      <c r="R37" s="53" t="n">
        <v>27</v>
      </c>
      <c r="S37" s="54"/>
      <c r="T37" s="54"/>
      <c r="U37" s="17" t="n">
        <f aca="false">T38-T37</f>
        <v>0</v>
      </c>
      <c r="V37" s="16"/>
      <c r="W37" s="17" t="n">
        <f aca="false">V38-V37</f>
        <v>0</v>
      </c>
      <c r="AE37" s="52" t="n">
        <v>28</v>
      </c>
      <c r="AF37" s="46"/>
      <c r="AG37" s="46"/>
      <c r="AH37" s="46"/>
      <c r="AI37" s="47"/>
      <c r="AJ37" s="47"/>
      <c r="AK37" s="47"/>
    </row>
    <row r="38" customFormat="false" ht="15" hidden="false" customHeight="false" outlineLevel="0" collapsed="false">
      <c r="C38" s="52" t="n">
        <v>28</v>
      </c>
      <c r="D38" s="59" t="s">
        <v>13</v>
      </c>
      <c r="E38" s="59"/>
      <c r="F38" s="59"/>
      <c r="G38" s="60" t="s">
        <v>13</v>
      </c>
      <c r="H38" s="60"/>
      <c r="I38" s="60"/>
      <c r="K38" s="52" t="n">
        <v>28</v>
      </c>
      <c r="L38" s="46"/>
      <c r="M38" s="46"/>
      <c r="N38" s="46"/>
      <c r="O38" s="46"/>
      <c r="P38" s="46"/>
      <c r="Q38" s="46"/>
      <c r="R38" s="53" t="n">
        <v>28</v>
      </c>
      <c r="S38" s="54"/>
      <c r="T38" s="54"/>
      <c r="U38" s="17" t="n">
        <f aca="false">T39-T38</f>
        <v>0</v>
      </c>
      <c r="V38" s="16"/>
      <c r="W38" s="17" t="n">
        <f aca="false">V39-V38</f>
        <v>0</v>
      </c>
      <c r="AE38" s="52" t="n">
        <v>29</v>
      </c>
      <c r="AF38" s="46"/>
      <c r="AG38" s="46"/>
      <c r="AH38" s="46"/>
      <c r="AI38" s="47"/>
      <c r="AJ38" s="47"/>
      <c r="AK38" s="47"/>
    </row>
    <row r="39" customFormat="false" ht="15" hidden="false" customHeight="false" outlineLevel="0" collapsed="false">
      <c r="C39" s="52" t="n">
        <v>29</v>
      </c>
      <c r="D39" s="46" t="n">
        <v>124</v>
      </c>
      <c r="E39" s="46"/>
      <c r="F39" s="46"/>
      <c r="G39" s="47" t="n">
        <v>456</v>
      </c>
      <c r="H39" s="47"/>
      <c r="I39" s="47"/>
      <c r="K39" s="52" t="n">
        <v>29</v>
      </c>
      <c r="L39" s="46"/>
      <c r="M39" s="46"/>
      <c r="N39" s="46"/>
      <c r="O39" s="46"/>
      <c r="P39" s="46"/>
      <c r="Q39" s="46"/>
      <c r="R39" s="53" t="n">
        <v>29</v>
      </c>
      <c r="S39" s="54"/>
      <c r="T39" s="54"/>
      <c r="U39" s="17" t="n">
        <f aca="false">T40-T39</f>
        <v>0</v>
      </c>
      <c r="V39" s="65"/>
      <c r="W39" s="17" t="n">
        <f aca="false">V40-V39</f>
        <v>0</v>
      </c>
      <c r="AE39" s="52" t="n">
        <v>30</v>
      </c>
      <c r="AF39" s="46"/>
      <c r="AG39" s="46"/>
      <c r="AH39" s="46"/>
      <c r="AI39" s="47"/>
      <c r="AJ39" s="47"/>
      <c r="AK39" s="47"/>
    </row>
    <row r="40" customFormat="false" ht="15" hidden="false" customHeight="false" outlineLevel="0" collapsed="false">
      <c r="C40" s="52" t="n">
        <v>30</v>
      </c>
      <c r="D40" s="46" t="n">
        <v>108</v>
      </c>
      <c r="E40" s="46"/>
      <c r="F40" s="46"/>
      <c r="G40" s="47" t="n">
        <v>409</v>
      </c>
      <c r="H40" s="47"/>
      <c r="I40" s="47"/>
      <c r="K40" s="52" t="n">
        <v>30</v>
      </c>
      <c r="L40" s="46"/>
      <c r="M40" s="46"/>
      <c r="N40" s="46"/>
      <c r="O40" s="46"/>
      <c r="P40" s="46"/>
      <c r="Q40" s="46"/>
      <c r="R40" s="53" t="n">
        <v>30</v>
      </c>
      <c r="S40" s="54"/>
      <c r="T40" s="54"/>
      <c r="U40" s="17" t="n">
        <f aca="false">T41-T40</f>
        <v>0</v>
      </c>
      <c r="V40" s="16"/>
      <c r="W40" s="17" t="n">
        <f aca="false">V41-V40</f>
        <v>0</v>
      </c>
      <c r="AE40" s="66" t="n">
        <v>31</v>
      </c>
      <c r="AF40" s="46"/>
      <c r="AG40" s="46"/>
      <c r="AH40" s="46"/>
      <c r="AI40" s="47"/>
      <c r="AJ40" s="47"/>
      <c r="AK40" s="47"/>
    </row>
    <row r="41" customFormat="false" ht="17.35" hidden="false" customHeight="false" outlineLevel="0" collapsed="false">
      <c r="C41" s="66" t="n">
        <v>31</v>
      </c>
      <c r="D41" s="67" t="s">
        <v>13</v>
      </c>
      <c r="E41" s="67"/>
      <c r="F41" s="67"/>
      <c r="G41" s="67" t="s">
        <v>13</v>
      </c>
      <c r="H41" s="67"/>
      <c r="I41" s="67"/>
      <c r="K41" s="66" t="n">
        <v>31</v>
      </c>
      <c r="L41" s="46"/>
      <c r="M41" s="46"/>
      <c r="N41" s="46"/>
      <c r="O41" s="46"/>
      <c r="P41" s="46"/>
      <c r="Q41" s="46"/>
      <c r="R41" s="68" t="n">
        <v>31</v>
      </c>
      <c r="S41" s="69"/>
      <c r="T41" s="69"/>
      <c r="U41" s="17" t="n">
        <f aca="false">T42-T41</f>
        <v>0</v>
      </c>
      <c r="V41" s="28"/>
      <c r="W41" s="17" t="n">
        <f aca="false">V42-V41</f>
        <v>0</v>
      </c>
      <c r="AD41" s="70" t="s">
        <v>29</v>
      </c>
      <c r="AE41" s="70"/>
      <c r="AF41" s="71" t="n">
        <f aca="false">SUM(AF10:AH40)</f>
        <v>0</v>
      </c>
      <c r="AG41" s="71"/>
      <c r="AH41" s="71"/>
      <c r="AI41" s="72" t="n">
        <f aca="false">SUM(AI10:AK40)</f>
        <v>0</v>
      </c>
      <c r="AJ41" s="72"/>
      <c r="AK41" s="72"/>
    </row>
    <row r="42" customFormat="false" ht="17.35" hidden="false" customHeight="false" outlineLevel="0" collapsed="false">
      <c r="B42" s="70" t="s">
        <v>29</v>
      </c>
      <c r="C42" s="70"/>
      <c r="D42" s="71" t="n">
        <f aca="false">SUM(D11:F41)</f>
        <v>3261</v>
      </c>
      <c r="E42" s="71"/>
      <c r="F42" s="71"/>
      <c r="G42" s="72" t="n">
        <f aca="false">SUM(G11:I41)</f>
        <v>13968</v>
      </c>
      <c r="H42" s="72"/>
      <c r="I42" s="72"/>
      <c r="J42" s="70" t="s">
        <v>29</v>
      </c>
      <c r="K42" s="70"/>
      <c r="L42" s="71" t="n">
        <f aca="false">SUM(L11:N41)</f>
        <v>-200398</v>
      </c>
      <c r="M42" s="71"/>
      <c r="N42" s="71"/>
      <c r="O42" s="72" t="n">
        <f aca="false">SUM(O11:Q41)</f>
        <v>-1486198</v>
      </c>
      <c r="P42" s="72"/>
      <c r="Q42" s="72"/>
    </row>
    <row r="43" customFormat="false" ht="15" hidden="false" customHeight="false" outlineLevel="0" collapsed="false">
      <c r="B43" s="73" t="s">
        <v>30</v>
      </c>
      <c r="C43" s="73"/>
      <c r="D43" s="74" t="n">
        <f aca="false">AVERAGE(D11:F41)</f>
        <v>125.423076923077</v>
      </c>
      <c r="E43" s="74"/>
      <c r="F43" s="74"/>
      <c r="G43" s="74" t="n">
        <f aca="false">AVERAGE(G11:I41)</f>
        <v>537.230769230769</v>
      </c>
      <c r="H43" s="74"/>
      <c r="I43" s="74"/>
    </row>
  </sheetData>
  <mergeCells count="243">
    <mergeCell ref="A1:C9"/>
    <mergeCell ref="H2:I2"/>
    <mergeCell ref="D3:I5"/>
    <mergeCell ref="AG7:AJ8"/>
    <mergeCell ref="E8:H9"/>
    <mergeCell ref="M8:P9"/>
    <mergeCell ref="T8:V9"/>
    <mergeCell ref="AF9:AH9"/>
    <mergeCell ref="AI9:AK9"/>
    <mergeCell ref="D10:F10"/>
    <mergeCell ref="G10:I10"/>
    <mergeCell ref="L10:N10"/>
    <mergeCell ref="O10:Q10"/>
    <mergeCell ref="S10:T10"/>
    <mergeCell ref="AF10:AH10"/>
    <mergeCell ref="AI10:AK10"/>
    <mergeCell ref="D11:F11"/>
    <mergeCell ref="G11:I11"/>
    <mergeCell ref="L11:N11"/>
    <mergeCell ref="O11:Q11"/>
    <mergeCell ref="S11:T11"/>
    <mergeCell ref="AF11:AH11"/>
    <mergeCell ref="AI11:AK11"/>
    <mergeCell ref="D12:F12"/>
    <mergeCell ref="G12:I12"/>
    <mergeCell ref="L12:N12"/>
    <mergeCell ref="O12:Q12"/>
    <mergeCell ref="S12:T12"/>
    <mergeCell ref="AF12:AH12"/>
    <mergeCell ref="AI12:AK12"/>
    <mergeCell ref="D13:F13"/>
    <mergeCell ref="G13:I13"/>
    <mergeCell ref="L13:N13"/>
    <mergeCell ref="O13:Q13"/>
    <mergeCell ref="S13:T13"/>
    <mergeCell ref="AF13:AH13"/>
    <mergeCell ref="AI13:AK13"/>
    <mergeCell ref="D14:F14"/>
    <mergeCell ref="G14:I14"/>
    <mergeCell ref="L14:N14"/>
    <mergeCell ref="O14:Q14"/>
    <mergeCell ref="S14:T14"/>
    <mergeCell ref="AF14:AH14"/>
    <mergeCell ref="AI14:AK14"/>
    <mergeCell ref="D15:F15"/>
    <mergeCell ref="G15:I15"/>
    <mergeCell ref="L15:N15"/>
    <mergeCell ref="O15:Q15"/>
    <mergeCell ref="S15:T15"/>
    <mergeCell ref="AF15:AH15"/>
    <mergeCell ref="AI15:AK15"/>
    <mergeCell ref="D16:F16"/>
    <mergeCell ref="G16:I16"/>
    <mergeCell ref="L16:N16"/>
    <mergeCell ref="O16:Q16"/>
    <mergeCell ref="S16:T16"/>
    <mergeCell ref="AF16:AH16"/>
    <mergeCell ref="AI16:AK16"/>
    <mergeCell ref="D17:F17"/>
    <mergeCell ref="G17:I17"/>
    <mergeCell ref="L17:N17"/>
    <mergeCell ref="O17:Q17"/>
    <mergeCell ref="S17:T17"/>
    <mergeCell ref="AF17:AH17"/>
    <mergeCell ref="AI17:AK17"/>
    <mergeCell ref="D18:F18"/>
    <mergeCell ref="G18:I18"/>
    <mergeCell ref="L18:N18"/>
    <mergeCell ref="O18:Q18"/>
    <mergeCell ref="S18:T18"/>
    <mergeCell ref="AF18:AH18"/>
    <mergeCell ref="AI18:AK18"/>
    <mergeCell ref="D19:F19"/>
    <mergeCell ref="G19:I19"/>
    <mergeCell ref="L19:N19"/>
    <mergeCell ref="O19:Q19"/>
    <mergeCell ref="S19:T19"/>
    <mergeCell ref="AF19:AH19"/>
    <mergeCell ref="AI19:AK19"/>
    <mergeCell ref="D20:F20"/>
    <mergeCell ref="G20:I20"/>
    <mergeCell ref="L20:N20"/>
    <mergeCell ref="O20:Q20"/>
    <mergeCell ref="S20:T20"/>
    <mergeCell ref="AF20:AH20"/>
    <mergeCell ref="AI20:AK20"/>
    <mergeCell ref="D21:F21"/>
    <mergeCell ref="G21:I21"/>
    <mergeCell ref="L21:N21"/>
    <mergeCell ref="O21:Q21"/>
    <mergeCell ref="S21:T21"/>
    <mergeCell ref="AF21:AH21"/>
    <mergeCell ref="AI21:AK21"/>
    <mergeCell ref="D22:F22"/>
    <mergeCell ref="G22:I22"/>
    <mergeCell ref="L22:N22"/>
    <mergeCell ref="O22:Q22"/>
    <mergeCell ref="S22:T22"/>
    <mergeCell ref="AF22:AH22"/>
    <mergeCell ref="AI22:AK22"/>
    <mergeCell ref="D23:F23"/>
    <mergeCell ref="G23:I23"/>
    <mergeCell ref="L23:N23"/>
    <mergeCell ref="O23:Q23"/>
    <mergeCell ref="S23:T23"/>
    <mergeCell ref="AF23:AH23"/>
    <mergeCell ref="AI23:AK23"/>
    <mergeCell ref="D24:F24"/>
    <mergeCell ref="G24:I24"/>
    <mergeCell ref="L24:N24"/>
    <mergeCell ref="O24:Q24"/>
    <mergeCell ref="S24:T24"/>
    <mergeCell ref="AF24:AH24"/>
    <mergeCell ref="AI24:AK24"/>
    <mergeCell ref="D25:F25"/>
    <mergeCell ref="G25:I25"/>
    <mergeCell ref="L25:N25"/>
    <mergeCell ref="O25:Q25"/>
    <mergeCell ref="S25:T25"/>
    <mergeCell ref="AF25:AH25"/>
    <mergeCell ref="AI25:AK25"/>
    <mergeCell ref="D26:F26"/>
    <mergeCell ref="G26:I26"/>
    <mergeCell ref="L26:N26"/>
    <mergeCell ref="O26:Q26"/>
    <mergeCell ref="S26:T26"/>
    <mergeCell ref="AF26:AH26"/>
    <mergeCell ref="AI26:AK26"/>
    <mergeCell ref="D27:F27"/>
    <mergeCell ref="G27:I27"/>
    <mergeCell ref="L27:N27"/>
    <mergeCell ref="O27:Q27"/>
    <mergeCell ref="S27:T27"/>
    <mergeCell ref="AF27:AH27"/>
    <mergeCell ref="AI27:AK27"/>
    <mergeCell ref="D28:F28"/>
    <mergeCell ref="G28:I28"/>
    <mergeCell ref="L28:N28"/>
    <mergeCell ref="O28:Q28"/>
    <mergeCell ref="S28:T28"/>
    <mergeCell ref="AF28:AH28"/>
    <mergeCell ref="AI28:AK28"/>
    <mergeCell ref="D29:F29"/>
    <mergeCell ref="G29:I29"/>
    <mergeCell ref="L29:N29"/>
    <mergeCell ref="O29:Q29"/>
    <mergeCell ref="S29:T29"/>
    <mergeCell ref="AF29:AH29"/>
    <mergeCell ref="AI29:AK29"/>
    <mergeCell ref="D30:F30"/>
    <mergeCell ref="G30:I30"/>
    <mergeCell ref="L30:N30"/>
    <mergeCell ref="O30:Q30"/>
    <mergeCell ref="S30:T30"/>
    <mergeCell ref="AF30:AH30"/>
    <mergeCell ref="AI30:AK30"/>
    <mergeCell ref="D31:F31"/>
    <mergeCell ref="G31:I31"/>
    <mergeCell ref="L31:N31"/>
    <mergeCell ref="O31:Q31"/>
    <mergeCell ref="S31:T31"/>
    <mergeCell ref="AF31:AH31"/>
    <mergeCell ref="AI31:AK31"/>
    <mergeCell ref="D32:F32"/>
    <mergeCell ref="G32:I32"/>
    <mergeCell ref="L32:N32"/>
    <mergeCell ref="O32:Q32"/>
    <mergeCell ref="S32:T32"/>
    <mergeCell ref="AF32:AH32"/>
    <mergeCell ref="AI32:AK32"/>
    <mergeCell ref="D33:F33"/>
    <mergeCell ref="G33:I33"/>
    <mergeCell ref="L33:N33"/>
    <mergeCell ref="O33:Q33"/>
    <mergeCell ref="S33:T33"/>
    <mergeCell ref="AF33:AH33"/>
    <mergeCell ref="AI33:AK33"/>
    <mergeCell ref="D34:F34"/>
    <mergeCell ref="G34:I34"/>
    <mergeCell ref="L34:N34"/>
    <mergeCell ref="O34:Q34"/>
    <mergeCell ref="S34:T34"/>
    <mergeCell ref="AF34:AH34"/>
    <mergeCell ref="AI34:AK34"/>
    <mergeCell ref="D35:F35"/>
    <mergeCell ref="G35:I35"/>
    <mergeCell ref="L35:N35"/>
    <mergeCell ref="O35:Q35"/>
    <mergeCell ref="S35:T35"/>
    <mergeCell ref="AF35:AH35"/>
    <mergeCell ref="AI35:AK35"/>
    <mergeCell ref="D36:F36"/>
    <mergeCell ref="G36:I36"/>
    <mergeCell ref="L36:N36"/>
    <mergeCell ref="O36:Q36"/>
    <mergeCell ref="S36:T36"/>
    <mergeCell ref="AF36:AH36"/>
    <mergeCell ref="AI36:AK36"/>
    <mergeCell ref="D37:F37"/>
    <mergeCell ref="G37:I37"/>
    <mergeCell ref="L37:N37"/>
    <mergeCell ref="O37:Q37"/>
    <mergeCell ref="S37:T37"/>
    <mergeCell ref="AF37:AH37"/>
    <mergeCell ref="AI37:AK37"/>
    <mergeCell ref="D38:F38"/>
    <mergeCell ref="G38:I38"/>
    <mergeCell ref="L38:N38"/>
    <mergeCell ref="O38:Q38"/>
    <mergeCell ref="S38:T38"/>
    <mergeCell ref="AF38:AH38"/>
    <mergeCell ref="AI38:AK38"/>
    <mergeCell ref="D39:F39"/>
    <mergeCell ref="G39:I39"/>
    <mergeCell ref="L39:N39"/>
    <mergeCell ref="O39:Q39"/>
    <mergeCell ref="S39:T39"/>
    <mergeCell ref="AF39:AH39"/>
    <mergeCell ref="AI39:AK39"/>
    <mergeCell ref="D40:F40"/>
    <mergeCell ref="G40:I40"/>
    <mergeCell ref="L40:N40"/>
    <mergeCell ref="O40:Q40"/>
    <mergeCell ref="S40:T40"/>
    <mergeCell ref="AF40:AH40"/>
    <mergeCell ref="AI40:AK40"/>
    <mergeCell ref="D41:F41"/>
    <mergeCell ref="G41:I41"/>
    <mergeCell ref="L41:N41"/>
    <mergeCell ref="O41:Q41"/>
    <mergeCell ref="S41:T41"/>
    <mergeCell ref="AD41:AE41"/>
    <mergeCell ref="AF41:AH41"/>
    <mergeCell ref="AI41:AK41"/>
    <mergeCell ref="B42:C42"/>
    <mergeCell ref="D42:F42"/>
    <mergeCell ref="G42:I42"/>
    <mergeCell ref="J42:K42"/>
    <mergeCell ref="L42:N42"/>
    <mergeCell ref="O42:Q42"/>
    <mergeCell ref="B43:C43"/>
    <mergeCell ref="D43:F43"/>
    <mergeCell ref="G43:I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E42" activeCellId="0" sqref="E42"/>
    </sheetView>
  </sheetViews>
  <sheetFormatPr defaultColWidth="10.859375" defaultRowHeight="15" customHeight="false" zeroHeight="false" outlineLevelRow="0" outlineLevelCol="0"/>
  <cols>
    <col collapsed="false" customWidth="false" hidden="false" outlineLevel="0" max="16384" min="1" style="75" width="10.86"/>
  </cols>
  <sheetData>
    <row r="1" customFormat="false" ht="15" hidden="false" customHeight="false" outlineLevel="0" collapsed="false">
      <c r="A1" s="76" t="e">
        <f aca="false">#VALUE!</f>
        <v>#VALUE!</v>
      </c>
      <c r="B1" s="76"/>
      <c r="C1" s="76"/>
    </row>
    <row r="2" customFormat="false" ht="15" hidden="false" customHeight="false" outlineLevel="0" collapsed="false">
      <c r="A2" s="76"/>
      <c r="B2" s="76"/>
      <c r="C2" s="76"/>
    </row>
    <row r="3" customFormat="false" ht="15" hidden="false" customHeight="false" outlineLevel="0" collapsed="false">
      <c r="A3" s="76"/>
      <c r="B3" s="76"/>
      <c r="C3" s="76"/>
      <c r="D3" s="77" t="s">
        <v>0</v>
      </c>
      <c r="E3" s="77"/>
      <c r="F3" s="77"/>
      <c r="G3" s="78"/>
    </row>
    <row r="4" customFormat="false" ht="15" hidden="false" customHeight="false" outlineLevel="0" collapsed="false">
      <c r="A4" s="76"/>
      <c r="B4" s="76"/>
      <c r="C4" s="76"/>
      <c r="D4" s="77"/>
      <c r="E4" s="77"/>
      <c r="F4" s="77"/>
    </row>
    <row r="5" customFormat="false" ht="15" hidden="false" customHeight="false" outlineLevel="0" collapsed="false">
      <c r="A5" s="76"/>
      <c r="B5" s="76"/>
      <c r="C5" s="76"/>
    </row>
    <row r="6" customFormat="false" ht="15" hidden="false" customHeight="false" outlineLevel="0" collapsed="false">
      <c r="A6" s="76"/>
      <c r="B6" s="76"/>
      <c r="C6" s="76"/>
    </row>
    <row r="7" customFormat="false" ht="15" hidden="false" customHeight="false" outlineLevel="0" collapsed="false">
      <c r="A7" s="76"/>
      <c r="B7" s="76"/>
      <c r="C7" s="76"/>
      <c r="D7" s="79" t="s">
        <v>31</v>
      </c>
      <c r="E7" s="79"/>
      <c r="F7" s="79"/>
    </row>
    <row r="8" customFormat="false" ht="15" hidden="false" customHeight="false" outlineLevel="0" collapsed="false">
      <c r="A8" s="76"/>
      <c r="B8" s="76"/>
      <c r="C8" s="76"/>
      <c r="D8" s="79"/>
      <c r="E8" s="79"/>
      <c r="F8" s="79"/>
    </row>
    <row r="9" customFormat="false" ht="15" hidden="false" customHeight="false" outlineLevel="0" collapsed="false">
      <c r="A9" s="76"/>
      <c r="B9" s="76"/>
      <c r="C9" s="76"/>
    </row>
    <row r="10" customFormat="false" ht="16.5" hidden="false" customHeight="true" outlineLevel="0" collapsed="false">
      <c r="D10" s="80" t="s">
        <v>32</v>
      </c>
      <c r="E10" s="80"/>
      <c r="F10" s="81" t="s">
        <v>33</v>
      </c>
      <c r="G10" s="81"/>
      <c r="H10" s="80" t="s">
        <v>34</v>
      </c>
      <c r="I10" s="80"/>
      <c r="J10" s="81" t="s">
        <v>33</v>
      </c>
      <c r="K10" s="81"/>
    </row>
    <row r="11" customFormat="false" ht="15" hidden="false" customHeight="false" outlineLevel="0" collapsed="false">
      <c r="C11" s="82" t="s">
        <v>35</v>
      </c>
      <c r="D11" s="83" t="s">
        <v>36</v>
      </c>
      <c r="E11" s="84" t="s">
        <v>37</v>
      </c>
      <c r="F11" s="81"/>
      <c r="G11" s="81"/>
      <c r="H11" s="85" t="s">
        <v>36</v>
      </c>
      <c r="I11" s="84" t="s">
        <v>37</v>
      </c>
      <c r="J11" s="81"/>
      <c r="K11" s="81"/>
    </row>
    <row r="12" customFormat="false" ht="15" hidden="false" customHeight="false" outlineLevel="0" collapsed="false">
      <c r="C12" s="86" t="n">
        <v>1</v>
      </c>
      <c r="D12" s="87"/>
      <c r="E12" s="88" t="n">
        <v>1</v>
      </c>
      <c r="F12" s="89"/>
      <c r="G12" s="89"/>
      <c r="H12" s="87" t="n">
        <v>1</v>
      </c>
      <c r="I12" s="90"/>
      <c r="J12" s="89"/>
      <c r="K12" s="89"/>
    </row>
    <row r="13" customFormat="false" ht="15" hidden="false" customHeight="false" outlineLevel="0" collapsed="false">
      <c r="C13" s="86" t="n">
        <v>2</v>
      </c>
      <c r="D13" s="87"/>
      <c r="E13" s="88" t="n">
        <v>1</v>
      </c>
      <c r="F13" s="91"/>
      <c r="G13" s="91"/>
      <c r="H13" s="87"/>
      <c r="I13" s="90"/>
      <c r="J13" s="91"/>
      <c r="K13" s="91"/>
    </row>
    <row r="14" customFormat="false" ht="15" hidden="false" customHeight="false" outlineLevel="0" collapsed="false">
      <c r="C14" s="86" t="n">
        <v>3</v>
      </c>
      <c r="D14" s="87" t="n">
        <v>1</v>
      </c>
      <c r="E14" s="88"/>
      <c r="F14" s="91"/>
      <c r="G14" s="91"/>
      <c r="H14" s="87"/>
      <c r="I14" s="90"/>
      <c r="J14" s="91"/>
      <c r="K14" s="91"/>
    </row>
    <row r="15" customFormat="false" ht="15" hidden="false" customHeight="false" outlineLevel="0" collapsed="false">
      <c r="C15" s="86" t="n">
        <v>4</v>
      </c>
      <c r="D15" s="87"/>
      <c r="E15" s="88" t="n">
        <v>1</v>
      </c>
      <c r="F15" s="91"/>
      <c r="G15" s="91"/>
      <c r="H15" s="87" t="n">
        <v>1</v>
      </c>
      <c r="I15" s="90"/>
      <c r="J15" s="91"/>
      <c r="K15" s="91"/>
    </row>
    <row r="16" customFormat="false" ht="15" hidden="false" customHeight="false" outlineLevel="0" collapsed="false">
      <c r="C16" s="86" t="n">
        <v>5</v>
      </c>
      <c r="D16" s="87"/>
      <c r="E16" s="88"/>
      <c r="F16" s="91"/>
      <c r="G16" s="91"/>
      <c r="H16" s="87"/>
      <c r="I16" s="90"/>
      <c r="J16" s="91"/>
      <c r="K16" s="91"/>
    </row>
    <row r="17" customFormat="false" ht="15" hidden="false" customHeight="false" outlineLevel="0" collapsed="false">
      <c r="C17" s="86" t="n">
        <v>6</v>
      </c>
      <c r="D17" s="87"/>
      <c r="E17" s="88"/>
      <c r="F17" s="91"/>
      <c r="G17" s="91"/>
      <c r="H17" s="87"/>
      <c r="I17" s="90"/>
      <c r="J17" s="91"/>
      <c r="K17" s="91"/>
    </row>
    <row r="18" customFormat="false" ht="15" hidden="false" customHeight="false" outlineLevel="0" collapsed="false">
      <c r="C18" s="86" t="n">
        <v>7</v>
      </c>
      <c r="D18" s="87"/>
      <c r="E18" s="88"/>
      <c r="F18" s="91"/>
      <c r="G18" s="91"/>
      <c r="H18" s="87"/>
      <c r="I18" s="90"/>
      <c r="J18" s="91"/>
      <c r="K18" s="91"/>
    </row>
    <row r="19" customFormat="false" ht="15" hidden="false" customHeight="false" outlineLevel="0" collapsed="false">
      <c r="C19" s="86" t="n">
        <v>8</v>
      </c>
      <c r="D19" s="87"/>
      <c r="E19" s="88" t="n">
        <v>1</v>
      </c>
      <c r="F19" s="91"/>
      <c r="G19" s="91"/>
      <c r="H19" s="87" t="n">
        <v>1</v>
      </c>
      <c r="I19" s="90"/>
      <c r="J19" s="91"/>
      <c r="K19" s="91"/>
    </row>
    <row r="20" customFormat="false" ht="15" hidden="false" customHeight="false" outlineLevel="0" collapsed="false">
      <c r="C20" s="86" t="n">
        <v>9</v>
      </c>
      <c r="D20" s="87"/>
      <c r="E20" s="88" t="n">
        <v>1</v>
      </c>
      <c r="F20" s="91"/>
      <c r="G20" s="91"/>
      <c r="H20" s="87"/>
      <c r="I20" s="90" t="n">
        <v>1</v>
      </c>
      <c r="J20" s="91"/>
      <c r="K20" s="91"/>
    </row>
    <row r="21" customFormat="false" ht="15" hidden="false" customHeight="false" outlineLevel="0" collapsed="false">
      <c r="C21" s="86" t="n">
        <v>10</v>
      </c>
      <c r="D21" s="87"/>
      <c r="E21" s="88" t="n">
        <v>1</v>
      </c>
      <c r="F21" s="91"/>
      <c r="G21" s="91"/>
      <c r="H21" s="87" t="n">
        <v>1</v>
      </c>
      <c r="I21" s="90"/>
      <c r="J21" s="91"/>
      <c r="K21" s="91"/>
    </row>
    <row r="22" customFormat="false" ht="15" hidden="false" customHeight="false" outlineLevel="0" collapsed="false">
      <c r="C22" s="86" t="n">
        <v>11</v>
      </c>
      <c r="D22" s="87"/>
      <c r="E22" s="88" t="n">
        <v>1</v>
      </c>
      <c r="F22" s="91"/>
      <c r="G22" s="91"/>
      <c r="H22" s="87"/>
      <c r="I22" s="90" t="n">
        <v>1</v>
      </c>
      <c r="J22" s="91"/>
      <c r="K22" s="91"/>
    </row>
    <row r="23" customFormat="false" ht="15" hidden="false" customHeight="false" outlineLevel="0" collapsed="false">
      <c r="C23" s="86" t="n">
        <v>12</v>
      </c>
      <c r="D23" s="87"/>
      <c r="E23" s="88" t="n">
        <v>1</v>
      </c>
      <c r="F23" s="91"/>
      <c r="G23" s="91"/>
      <c r="H23" s="87" t="n">
        <v>1</v>
      </c>
      <c r="I23" s="90"/>
      <c r="J23" s="91"/>
      <c r="K23" s="91"/>
    </row>
    <row r="24" customFormat="false" ht="15" hidden="false" customHeight="false" outlineLevel="0" collapsed="false">
      <c r="C24" s="86" t="n">
        <v>13</v>
      </c>
      <c r="D24" s="87"/>
      <c r="E24" s="88" t="n">
        <v>1</v>
      </c>
      <c r="F24" s="91"/>
      <c r="G24" s="91"/>
      <c r="H24" s="87"/>
      <c r="I24" s="90" t="n">
        <v>1</v>
      </c>
      <c r="J24" s="91"/>
      <c r="K24" s="91"/>
    </row>
    <row r="25" customFormat="false" ht="15" hidden="false" customHeight="false" outlineLevel="0" collapsed="false">
      <c r="C25" s="86" t="n">
        <v>14</v>
      </c>
      <c r="D25" s="87"/>
      <c r="E25" s="88"/>
      <c r="F25" s="91"/>
      <c r="G25" s="91"/>
      <c r="H25" s="87"/>
      <c r="I25" s="90"/>
      <c r="J25" s="91"/>
      <c r="K25" s="91"/>
    </row>
    <row r="26" customFormat="false" ht="15" hidden="false" customHeight="false" outlineLevel="0" collapsed="false">
      <c r="C26" s="86" t="n">
        <v>15</v>
      </c>
      <c r="D26" s="87"/>
      <c r="E26" s="88" t="n">
        <v>1</v>
      </c>
      <c r="F26" s="91"/>
      <c r="G26" s="91"/>
      <c r="H26" s="87" t="n">
        <v>1</v>
      </c>
      <c r="I26" s="90"/>
      <c r="J26" s="91"/>
      <c r="K26" s="91"/>
    </row>
    <row r="27" customFormat="false" ht="15" hidden="false" customHeight="false" outlineLevel="0" collapsed="false">
      <c r="C27" s="86" t="n">
        <v>16</v>
      </c>
      <c r="D27" s="87"/>
      <c r="E27" s="88" t="n">
        <v>1</v>
      </c>
      <c r="F27" s="91"/>
      <c r="G27" s="91"/>
      <c r="H27" s="87"/>
      <c r="I27" s="90"/>
      <c r="J27" s="91"/>
      <c r="K27" s="91"/>
    </row>
    <row r="28" customFormat="false" ht="15" hidden="false" customHeight="false" outlineLevel="0" collapsed="false">
      <c r="C28" s="86" t="n">
        <v>17</v>
      </c>
      <c r="D28" s="87"/>
      <c r="E28" s="88" t="n">
        <v>1</v>
      </c>
      <c r="F28" s="91"/>
      <c r="G28" s="91"/>
      <c r="H28" s="87"/>
      <c r="I28" s="90"/>
      <c r="J28" s="91"/>
      <c r="K28" s="91"/>
    </row>
    <row r="29" customFormat="false" ht="15" hidden="false" customHeight="false" outlineLevel="0" collapsed="false">
      <c r="C29" s="86" t="n">
        <v>18</v>
      </c>
      <c r="D29" s="87"/>
      <c r="E29" s="88" t="n">
        <v>1</v>
      </c>
      <c r="F29" s="91"/>
      <c r="G29" s="91"/>
      <c r="H29" s="87"/>
      <c r="I29" s="90"/>
      <c r="J29" s="91"/>
      <c r="K29" s="91"/>
    </row>
    <row r="30" customFormat="false" ht="15" hidden="false" customHeight="false" outlineLevel="0" collapsed="false">
      <c r="C30" s="86" t="n">
        <v>19</v>
      </c>
      <c r="D30" s="87"/>
      <c r="E30" s="88" t="n">
        <v>1</v>
      </c>
      <c r="F30" s="91"/>
      <c r="G30" s="91"/>
      <c r="H30" s="87"/>
      <c r="I30" s="90"/>
      <c r="J30" s="91"/>
      <c r="K30" s="91"/>
    </row>
    <row r="31" customFormat="false" ht="15" hidden="false" customHeight="false" outlineLevel="0" collapsed="false">
      <c r="C31" s="86" t="n">
        <v>20</v>
      </c>
      <c r="D31" s="87"/>
      <c r="E31" s="88"/>
      <c r="F31" s="91"/>
      <c r="G31" s="91"/>
      <c r="H31" s="87"/>
      <c r="I31" s="90"/>
      <c r="J31" s="91"/>
      <c r="K31" s="91"/>
    </row>
    <row r="32" customFormat="false" ht="15" hidden="false" customHeight="false" outlineLevel="0" collapsed="false">
      <c r="C32" s="86" t="n">
        <v>21</v>
      </c>
      <c r="D32" s="87"/>
      <c r="E32" s="88"/>
      <c r="F32" s="91"/>
      <c r="G32" s="91"/>
      <c r="H32" s="87"/>
      <c r="I32" s="90"/>
      <c r="J32" s="91"/>
      <c r="K32" s="91"/>
    </row>
    <row r="33" customFormat="false" ht="15" hidden="false" customHeight="false" outlineLevel="0" collapsed="false">
      <c r="C33" s="86" t="n">
        <v>22</v>
      </c>
      <c r="D33" s="87"/>
      <c r="E33" s="88" t="n">
        <v>1</v>
      </c>
      <c r="F33" s="91"/>
      <c r="G33" s="91"/>
      <c r="H33" s="87" t="n">
        <v>1</v>
      </c>
      <c r="I33" s="90"/>
      <c r="J33" s="91"/>
      <c r="K33" s="91"/>
    </row>
    <row r="34" customFormat="false" ht="15" hidden="false" customHeight="false" outlineLevel="0" collapsed="false">
      <c r="C34" s="86" t="n">
        <v>23</v>
      </c>
      <c r="D34" s="87"/>
      <c r="E34" s="88" t="n">
        <v>1</v>
      </c>
      <c r="F34" s="91"/>
      <c r="G34" s="91"/>
      <c r="H34" s="87"/>
      <c r="I34" s="90"/>
      <c r="J34" s="91"/>
      <c r="K34" s="91"/>
    </row>
    <row r="35" customFormat="false" ht="15" hidden="false" customHeight="false" outlineLevel="0" collapsed="false">
      <c r="C35" s="86" t="n">
        <v>24</v>
      </c>
      <c r="D35" s="87"/>
      <c r="E35" s="88"/>
      <c r="F35" s="91"/>
      <c r="G35" s="91"/>
      <c r="H35" s="87" t="n">
        <v>1</v>
      </c>
      <c r="I35" s="90"/>
      <c r="J35" s="91"/>
      <c r="K35" s="91"/>
    </row>
    <row r="36" customFormat="false" ht="15" hidden="false" customHeight="false" outlineLevel="0" collapsed="false">
      <c r="C36" s="86" t="n">
        <v>25</v>
      </c>
      <c r="D36" s="87"/>
      <c r="E36" s="88"/>
      <c r="F36" s="91"/>
      <c r="G36" s="91"/>
      <c r="H36" s="87"/>
      <c r="I36" s="90"/>
      <c r="J36" s="91"/>
      <c r="K36" s="91"/>
    </row>
    <row r="37" customFormat="false" ht="15" hidden="false" customHeight="false" outlineLevel="0" collapsed="false">
      <c r="C37" s="86" t="n">
        <v>26</v>
      </c>
      <c r="D37" s="87"/>
      <c r="E37" s="88"/>
      <c r="F37" s="91"/>
      <c r="G37" s="91"/>
      <c r="H37" s="87" t="n">
        <v>1</v>
      </c>
      <c r="I37" s="90"/>
      <c r="J37" s="91"/>
      <c r="K37" s="91"/>
    </row>
    <row r="38" customFormat="false" ht="15" hidden="false" customHeight="false" outlineLevel="0" collapsed="false">
      <c r="C38" s="86" t="n">
        <v>27</v>
      </c>
      <c r="D38" s="87"/>
      <c r="E38" s="88"/>
      <c r="F38" s="91"/>
      <c r="G38" s="91"/>
      <c r="H38" s="87"/>
      <c r="I38" s="90"/>
      <c r="J38" s="91"/>
      <c r="K38" s="91"/>
    </row>
    <row r="39" customFormat="false" ht="15" hidden="false" customHeight="false" outlineLevel="0" collapsed="false">
      <c r="C39" s="86" t="n">
        <v>28</v>
      </c>
      <c r="D39" s="87"/>
      <c r="E39" s="88"/>
      <c r="F39" s="91"/>
      <c r="G39" s="91"/>
      <c r="H39" s="87"/>
      <c r="I39" s="90"/>
      <c r="J39" s="91"/>
      <c r="K39" s="91"/>
    </row>
    <row r="40" customFormat="false" ht="15" hidden="false" customHeight="false" outlineLevel="0" collapsed="false">
      <c r="C40" s="86" t="n">
        <v>29</v>
      </c>
      <c r="D40" s="87"/>
      <c r="E40" s="88"/>
      <c r="F40" s="91"/>
      <c r="G40" s="91"/>
      <c r="H40" s="87"/>
      <c r="I40" s="90"/>
      <c r="J40" s="91"/>
      <c r="K40" s="91"/>
    </row>
    <row r="41" customFormat="false" ht="15" hidden="false" customHeight="false" outlineLevel="0" collapsed="false">
      <c r="C41" s="86" t="n">
        <v>30</v>
      </c>
      <c r="D41" s="87"/>
      <c r="E41" s="88"/>
      <c r="F41" s="91"/>
      <c r="G41" s="91"/>
      <c r="H41" s="87"/>
      <c r="I41" s="90"/>
      <c r="J41" s="91"/>
      <c r="K41" s="91"/>
    </row>
    <row r="42" customFormat="false" ht="15.75" hidden="false" customHeight="false" outlineLevel="0" collapsed="false">
      <c r="C42" s="92" t="n">
        <v>31</v>
      </c>
      <c r="D42" s="93"/>
      <c r="E42" s="94"/>
      <c r="F42" s="91"/>
      <c r="G42" s="91"/>
      <c r="H42" s="93"/>
      <c r="I42" s="95"/>
      <c r="J42" s="91"/>
      <c r="K42" s="91"/>
    </row>
    <row r="43" customFormat="false" ht="15" hidden="false" customHeight="false" outlineLevel="0" collapsed="false">
      <c r="B43" s="96" t="s">
        <v>38</v>
      </c>
      <c r="C43" s="96"/>
      <c r="D43" s="97" t="n">
        <f aca="false">SUM(D12:D42)</f>
        <v>1</v>
      </c>
      <c r="E43" s="98" t="n">
        <f aca="false">SUM(E12:E42)</f>
        <v>16</v>
      </c>
      <c r="H43" s="98" t="n">
        <f aca="false">SUM(H12:H42)</f>
        <v>9</v>
      </c>
      <c r="I43" s="98" t="n">
        <f aca="false">SUM(I12:I42)</f>
        <v>3</v>
      </c>
    </row>
  </sheetData>
  <mergeCells count="70">
    <mergeCell ref="A1:C9"/>
    <mergeCell ref="D3:F4"/>
    <mergeCell ref="D7:F8"/>
    <mergeCell ref="D10:E10"/>
    <mergeCell ref="F10:G11"/>
    <mergeCell ref="H10:I10"/>
    <mergeCell ref="J10:K11"/>
    <mergeCell ref="F12:G12"/>
    <mergeCell ref="J12:K12"/>
    <mergeCell ref="F13:G13"/>
    <mergeCell ref="J13:K13"/>
    <mergeCell ref="F14:G14"/>
    <mergeCell ref="J14:K14"/>
    <mergeCell ref="F15:G15"/>
    <mergeCell ref="J15:K15"/>
    <mergeCell ref="F16:G16"/>
    <mergeCell ref="J16:K16"/>
    <mergeCell ref="F17:G17"/>
    <mergeCell ref="J17:K17"/>
    <mergeCell ref="F18:G18"/>
    <mergeCell ref="J18:K18"/>
    <mergeCell ref="F19:G19"/>
    <mergeCell ref="J19:K19"/>
    <mergeCell ref="F20:G20"/>
    <mergeCell ref="J20:K20"/>
    <mergeCell ref="F21:G21"/>
    <mergeCell ref="J21:K21"/>
    <mergeCell ref="F22:G22"/>
    <mergeCell ref="J22:K22"/>
    <mergeCell ref="F23:G23"/>
    <mergeCell ref="J23:K23"/>
    <mergeCell ref="F24:G24"/>
    <mergeCell ref="J24:K24"/>
    <mergeCell ref="F25:G25"/>
    <mergeCell ref="J25:K25"/>
    <mergeCell ref="F26:G26"/>
    <mergeCell ref="J26:K26"/>
    <mergeCell ref="F27:G27"/>
    <mergeCell ref="J27:K27"/>
    <mergeCell ref="F28:G28"/>
    <mergeCell ref="J28:K28"/>
    <mergeCell ref="F29:G29"/>
    <mergeCell ref="J29:K29"/>
    <mergeCell ref="F30:G30"/>
    <mergeCell ref="J30:K30"/>
    <mergeCell ref="F31:G31"/>
    <mergeCell ref="J31:K31"/>
    <mergeCell ref="F32:G32"/>
    <mergeCell ref="J32:K32"/>
    <mergeCell ref="F33:G33"/>
    <mergeCell ref="J33:K33"/>
    <mergeCell ref="F34:G34"/>
    <mergeCell ref="J34:K34"/>
    <mergeCell ref="F35:G35"/>
    <mergeCell ref="J35:K35"/>
    <mergeCell ref="F36:G36"/>
    <mergeCell ref="J36:K36"/>
    <mergeCell ref="F37:G37"/>
    <mergeCell ref="J37:K37"/>
    <mergeCell ref="F38:G38"/>
    <mergeCell ref="J38:K38"/>
    <mergeCell ref="F39:G39"/>
    <mergeCell ref="J39:K39"/>
    <mergeCell ref="F40:G40"/>
    <mergeCell ref="J40:K40"/>
    <mergeCell ref="F41:G41"/>
    <mergeCell ref="J41:K41"/>
    <mergeCell ref="F42:G42"/>
    <mergeCell ref="J42:K42"/>
    <mergeCell ref="B43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Edilio Loyola</dc:creator>
  <dc:description/>
  <dc:language>es-ES</dc:language>
  <cp:lastModifiedBy/>
  <cp:lastPrinted>2026-05-28T14:17:22Z</cp:lastPrinted>
  <dcterms:modified xsi:type="dcterms:W3CDTF">2026-07-04T00:13:34Z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
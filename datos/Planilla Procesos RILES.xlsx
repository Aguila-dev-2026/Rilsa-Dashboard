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https://ecosercl-my.sharepoint.com/personal/eloyola_volta_cl/Documents/Escritorio/"/>
    </mc:Choice>
  </mc:AlternateContent>
  <xr:revisionPtr revIDLastSave="0" documentId="8_{F2E63534-DC8D-49DA-A73D-CA89F9E234CB}" xr6:coauthVersionLast="47" xr6:coauthVersionMax="47" xr10:uidLastSave="{00000000-0000-0000-0000-000000000000}"/>
  <bookViews>
    <workbookView xWindow="-110" yWindow="-110" windowWidth="19420" windowHeight="11500" firstSheet="6" activeTab="6" xr2:uid="{00000000-000D-0000-FFFF-FFFF00000000}"/>
  </bookViews>
  <sheets>
    <sheet name="Físico-químico" sheetId="1" r:id="rId1"/>
    <sheet name="Terreno" sheetId="5" state="hidden" r:id="rId2"/>
    <sheet name="Proceso aeróbico" sheetId="2" r:id="rId3"/>
    <sheet name="Terreno PA" sheetId="7" state="hidden" r:id="rId4"/>
    <sheet name="Terreno PB" sheetId="6" state="hidden" r:id="rId5"/>
    <sheet name="Planta baja" sheetId="3" r:id="rId6"/>
    <sheet name="Combustible" sheetId="4" r:id="rId7"/>
  </sheets>
  <definedNames>
    <definedName name="_xlnm.Print_Area" localSheetId="6">Combustible!$B$3:$G$35</definedName>
    <definedName name="_xlnm.Print_Area" localSheetId="2">'Proceso aeróbico'!$J$2:$Q$34</definedName>
    <definedName name="_xlnm.Print_Area" localSheetId="1">Terreno!$B$1:$K$33</definedName>
    <definedName name="_xlnm.Print_Area" localSheetId="3">'Terreno PA'!$I$1:$O$33</definedName>
    <definedName name="_xlnm.Print_Area" localSheetId="4">'Terreno PB'!$K$1:$S$33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3" l="1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3" i="3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3" i="2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4" i="1"/>
  <c r="X53" i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3" i="3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3" i="2"/>
  <c r="N39" i="1"/>
  <c r="N36" i="1"/>
  <c r="O40" i="3"/>
  <c r="O34" i="3"/>
  <c r="O35" i="3"/>
  <c r="O36" i="3"/>
  <c r="O37" i="3"/>
  <c r="O38" i="3"/>
  <c r="O39" i="3"/>
  <c r="J34" i="1"/>
  <c r="L34" i="1"/>
  <c r="N34" i="1"/>
  <c r="C34" i="2"/>
  <c r="J34" i="2" s="1"/>
  <c r="J35" i="1"/>
  <c r="L35" i="1"/>
  <c r="N35" i="1"/>
  <c r="C35" i="2"/>
  <c r="J35" i="2" s="1"/>
  <c r="J36" i="1"/>
  <c r="L36" i="1"/>
  <c r="C36" i="2"/>
  <c r="J36" i="2" s="1"/>
  <c r="J37" i="1"/>
  <c r="L37" i="1"/>
  <c r="N37" i="1"/>
  <c r="C37" i="2"/>
  <c r="J37" i="2" s="1"/>
  <c r="J38" i="1"/>
  <c r="L38" i="1"/>
  <c r="N38" i="1"/>
  <c r="C38" i="2"/>
  <c r="J38" i="2" s="1"/>
  <c r="J39" i="1"/>
  <c r="L39" i="1"/>
  <c r="C39" i="2"/>
  <c r="J39" i="2" s="1"/>
  <c r="J40" i="1"/>
  <c r="L40" i="1"/>
  <c r="N40" i="1"/>
  <c r="C40" i="2"/>
  <c r="J40" i="2" s="1"/>
  <c r="I26" i="2" l="1"/>
  <c r="C28" i="2"/>
  <c r="J28" i="2" s="1"/>
  <c r="C33" i="2"/>
  <c r="J33" i="2" s="1"/>
  <c r="C24" i="2"/>
  <c r="C23" i="2"/>
  <c r="C20" i="2"/>
  <c r="C19" i="2"/>
  <c r="C18" i="2"/>
  <c r="C8" i="2"/>
  <c r="C9" i="2"/>
  <c r="C10" i="2"/>
  <c r="C11" i="2"/>
  <c r="C12" i="2"/>
  <c r="C13" i="2"/>
  <c r="C14" i="2"/>
  <c r="C15" i="2"/>
  <c r="C16" i="2"/>
  <c r="C17" i="2"/>
  <c r="C4" i="2"/>
  <c r="C5" i="2"/>
  <c r="C6" i="2"/>
  <c r="C7" i="2"/>
  <c r="R14" i="3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J3" i="1"/>
  <c r="L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" i="1"/>
  <c r="J4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3" i="2"/>
  <c r="J24" i="2"/>
  <c r="C26" i="2"/>
  <c r="J26" i="2" s="1"/>
  <c r="C27" i="2"/>
  <c r="J27" i="2" s="1"/>
  <c r="C29" i="2"/>
  <c r="J29" i="2" s="1"/>
  <c r="C30" i="2"/>
  <c r="J30" i="2" s="1"/>
  <c r="C31" i="2"/>
  <c r="J31" i="2" s="1"/>
  <c r="C32" i="2"/>
  <c r="J32" i="2" s="1"/>
  <c r="C3" i="2"/>
  <c r="J3" i="2" s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" i="3"/>
  <c r="C22" i="2" l="1"/>
  <c r="J22" i="2" s="1"/>
  <c r="C21" i="2"/>
  <c r="J21" i="2" s="1"/>
  <c r="C25" i="2"/>
  <c r="J25" i="2" s="1"/>
</calcChain>
</file>

<file path=xl/sharedStrings.xml><?xml version="1.0" encoding="utf-8"?>
<sst xmlns="http://schemas.openxmlformats.org/spreadsheetml/2006/main" count="229" uniqueCount="109">
  <si>
    <t>Salida - Entrada de camiones</t>
  </si>
  <si>
    <t>Químicos</t>
  </si>
  <si>
    <t>Horometros Planta Alta</t>
  </si>
  <si>
    <t>Filtro Prensa</t>
  </si>
  <si>
    <t>Energía Planta Alta</t>
  </si>
  <si>
    <t>TK 3</t>
  </si>
  <si>
    <t>Día</t>
  </si>
  <si>
    <t>Ingresos [Ton]</t>
  </si>
  <si>
    <t>Retiro Tolva asimilable [Ton]</t>
  </si>
  <si>
    <t>Consumo P. Catiónico [kg]</t>
  </si>
  <si>
    <t>Consumo P. Aniónico [kg]</t>
  </si>
  <si>
    <t>Consumo PAC [kg]</t>
  </si>
  <si>
    <t>Consumo Cal [kg]</t>
  </si>
  <si>
    <t>Horómetro bomba lodo 1</t>
  </si>
  <si>
    <t>Horas funcinamineto bba lodo 1</t>
  </si>
  <si>
    <t>Horómetro bomba lodo 2</t>
  </si>
  <si>
    <t>Horas funcinamineto bba lodo 2</t>
  </si>
  <si>
    <t>Horómetro bomba lodo 3 (SD5)</t>
  </si>
  <si>
    <t>Tolva Filtro 1 [Ton]</t>
  </si>
  <si>
    <t>Tolva Filtro 2 [Ton]</t>
  </si>
  <si>
    <t>SST entrada filtro 1 [mg/l]</t>
  </si>
  <si>
    <t>SST entrada filtro 2 [mg/l]</t>
  </si>
  <si>
    <t>SST salida filtro 1 [mg/l]</t>
  </si>
  <si>
    <t>% Humedad Lodo 1</t>
  </si>
  <si>
    <t>% Humedad Lodo 2</t>
  </si>
  <si>
    <t>Lectura Energía eléctrica</t>
  </si>
  <si>
    <t>Energía eléctrica consumida</t>
  </si>
  <si>
    <t xml:space="preserve">Lectura flujómetro (alimentacion a reactor) TK3 </t>
  </si>
  <si>
    <t xml:space="preserve"> [m3]</t>
  </si>
  <si>
    <t>DQO TK3 [mg/l]</t>
  </si>
  <si>
    <t>SST TK3 [mg/l]</t>
  </si>
  <si>
    <t>pH</t>
  </si>
  <si>
    <t>Conductividad [mS]</t>
  </si>
  <si>
    <t>Turbiedad [NTU]</t>
  </si>
  <si>
    <t>−</t>
  </si>
  <si>
    <t>-</t>
  </si>
  <si>
    <t>FR</t>
  </si>
  <si>
    <t>Salida - entrada de camioes</t>
  </si>
  <si>
    <t>Quimicos</t>
  </si>
  <si>
    <t>Horometros planta alta</t>
  </si>
  <si>
    <t>Lectura Planta Alta</t>
  </si>
  <si>
    <t>TK3</t>
  </si>
  <si>
    <t>Dia</t>
  </si>
  <si>
    <t xml:space="preserve">Lectura flujómetro TK3 </t>
  </si>
  <si>
    <t>Volumen TK3 [m3]</t>
  </si>
  <si>
    <t>Reactor</t>
  </si>
  <si>
    <t>Carga entrada [kg DBO5/d]</t>
  </si>
  <si>
    <t>Test sólidos sedimentables [ml/l]</t>
  </si>
  <si>
    <t>SST Reactor [mg/l]</t>
  </si>
  <si>
    <t>SST purga [mg/l]</t>
  </si>
  <si>
    <t>Nivel de lodo [mts]</t>
  </si>
  <si>
    <t>Purga [m3]</t>
  </si>
  <si>
    <t>Edad del lodo [d]</t>
  </si>
  <si>
    <t>F/M</t>
  </si>
  <si>
    <t>OD aireando [mg/l]</t>
  </si>
  <si>
    <t>OD detenido mg/l]</t>
  </si>
  <si>
    <t>Horómetro soplador</t>
  </si>
  <si>
    <t>Horas trabajadas</t>
  </si>
  <si>
    <t>Energia consumida</t>
  </si>
  <si>
    <t>Planta Baja</t>
  </si>
  <si>
    <t>Fecha</t>
  </si>
  <si>
    <t>DQO clarificador [mg/l]</t>
  </si>
  <si>
    <t>Turbiedad clarificador [NTU]</t>
  </si>
  <si>
    <t>Conductividad clarificador [mS]</t>
  </si>
  <si>
    <t>DQO lamelar [mg/l]</t>
  </si>
  <si>
    <t>Turbiedad lamelar [NTU]</t>
  </si>
  <si>
    <t>Conductividad lamelar [mS]</t>
  </si>
  <si>
    <t>Horómetro Bomba lamelar</t>
  </si>
  <si>
    <t>Lectura agua salida</t>
  </si>
  <si>
    <t>Turbiedad estanque medio membranas</t>
  </si>
  <si>
    <t>Flujo permeado 1</t>
  </si>
  <si>
    <t>Flujo permeado 2</t>
  </si>
  <si>
    <t>Flujo rechazo 1</t>
  </si>
  <si>
    <t>Horómetro Bomba alimentación membranas</t>
  </si>
  <si>
    <t>Turbiedad permeado [NTU]</t>
  </si>
  <si>
    <t>Cloruros permeado [mg/l]</t>
  </si>
  <si>
    <t>Lectura lectrica</t>
  </si>
  <si>
    <t>Horómetro Bomba Riego</t>
  </si>
  <si>
    <t>Horas de funcionamiento</t>
  </si>
  <si>
    <t>M3</t>
  </si>
  <si>
    <t>Lectura eléctrica (general)</t>
  </si>
  <si>
    <t>DIF</t>
  </si>
  <si>
    <t>Hipoclorito (KG)</t>
  </si>
  <si>
    <t>Nombre</t>
  </si>
  <si>
    <t>Patente</t>
  </si>
  <si>
    <t xml:space="preserve">Horometro </t>
  </si>
  <si>
    <t>Litros Diesel</t>
  </si>
  <si>
    <t>Comentario</t>
  </si>
  <si>
    <t>Rodrigo Pizarro</t>
  </si>
  <si>
    <t>Gato</t>
  </si>
  <si>
    <t>Movimientos internos</t>
  </si>
  <si>
    <t>Robaldo</t>
  </si>
  <si>
    <t>GVPG91</t>
  </si>
  <si>
    <t>JZGV17</t>
  </si>
  <si>
    <t>Llega combustible (1000 litros)</t>
  </si>
  <si>
    <t>21/07/2026</t>
  </si>
  <si>
    <t>SXTZ81</t>
  </si>
  <si>
    <t>Camioneta</t>
  </si>
  <si>
    <t>Juan Morales</t>
  </si>
  <si>
    <t xml:space="preserve">pedro diaz </t>
  </si>
  <si>
    <t>gato</t>
  </si>
  <si>
    <t>Maquinaria del vecino</t>
  </si>
  <si>
    <t>25/08/2026</t>
  </si>
  <si>
    <t xml:space="preserve">robaldo </t>
  </si>
  <si>
    <t xml:space="preserve">camioneta </t>
  </si>
  <si>
    <t>Llegada combustible (1000 litros)</t>
  </si>
  <si>
    <t>26/08/2026</t>
  </si>
  <si>
    <t>robaldo</t>
  </si>
  <si>
    <t xml:space="preserve">Fabian Valle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</si>
</sst>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\-yy;@"/>
    <numFmt numFmtId="165" formatCode="0.0"/>
  </numFmts>
  <fonts count="12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2"/>
      <color rgb="FF000000"/>
      <name val="Calibri"/>
      <scheme val="minor"/>
    </font>
    <font>
      <sz val="12"/>
      <color theme="1"/>
      <name val="Calibri"/>
      <scheme val="minor"/>
    </font>
    <font>
      <sz val="11"/>
      <color theme="1"/>
      <name val="Calibri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/>
    <xf numFmtId="0" fontId="0" fillId="2" borderId="2" xfId="0" applyFill="1" applyBorder="1" applyAlignment="1">
      <alignment horizontal="center" vertical="center" wrapText="1"/>
    </xf>
    <xf numFmtId="0" fontId="0" fillId="2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/>
    <xf numFmtId="0" fontId="0" fillId="2" borderId="18" xfId="0" applyFill="1" applyBorder="1"/>
    <xf numFmtId="14" fontId="0" fillId="2" borderId="9" xfId="0" applyNumberFormat="1" applyFill="1" applyBorder="1" applyAlignment="1">
      <alignment horizontal="center"/>
    </xf>
    <xf numFmtId="0" fontId="4" fillId="3" borderId="22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2" fontId="0" fillId="2" borderId="0" xfId="0" applyNumberFormat="1" applyFill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2" borderId="0" xfId="0" applyNumberFormat="1" applyFill="1"/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6" fillId="3" borderId="21" xfId="0" applyFont="1" applyFill="1" applyBorder="1" applyAlignment="1">
      <alignment horizontal="center"/>
    </xf>
    <xf numFmtId="2" fontId="6" fillId="3" borderId="21" xfId="0" applyNumberFormat="1" applyFont="1" applyFill="1" applyBorder="1" applyAlignment="1">
      <alignment horizontal="center"/>
    </xf>
    <xf numFmtId="0" fontId="6" fillId="3" borderId="22" xfId="0" applyFont="1" applyFill="1" applyBorder="1" applyAlignment="1">
      <alignment horizontal="center"/>
    </xf>
    <xf numFmtId="2" fontId="6" fillId="3" borderId="22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0" fontId="4" fillId="3" borderId="28" xfId="0" applyFont="1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left"/>
    </xf>
    <xf numFmtId="0" fontId="8" fillId="0" borderId="2" xfId="0" applyFont="1" applyBorder="1" applyAlignment="1">
      <alignment horizontal="center"/>
    </xf>
    <xf numFmtId="164" fontId="8" fillId="0" borderId="37" xfId="0" applyNumberFormat="1" applyFont="1" applyBorder="1" applyAlignment="1">
      <alignment horizontal="center" vertical="center" wrapText="1"/>
    </xf>
    <xf numFmtId="0" fontId="8" fillId="0" borderId="38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164" fontId="8" fillId="2" borderId="28" xfId="0" applyNumberFormat="1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14" fontId="0" fillId="2" borderId="28" xfId="0" applyNumberFormat="1" applyFill="1" applyBorder="1" applyAlignment="1">
      <alignment horizontal="center"/>
    </xf>
    <xf numFmtId="14" fontId="0" fillId="2" borderId="33" xfId="0" applyNumberFormat="1" applyFill="1" applyBorder="1" applyAlignment="1">
      <alignment horizontal="center"/>
    </xf>
    <xf numFmtId="165" fontId="6" fillId="3" borderId="1" xfId="0" applyNumberFormat="1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2" borderId="40" xfId="0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/>
    </xf>
    <xf numFmtId="0" fontId="0" fillId="2" borderId="44" xfId="0" applyFill="1" applyBorder="1" applyAlignment="1">
      <alignment horizontal="center" vertical="center" wrapText="1"/>
    </xf>
    <xf numFmtId="1" fontId="0" fillId="0" borderId="32" xfId="0" applyNumberFormat="1" applyBorder="1" applyAlignment="1">
      <alignment horizontal="center"/>
    </xf>
    <xf numFmtId="0" fontId="0" fillId="2" borderId="22" xfId="0" applyFill="1" applyBorder="1" applyAlignment="1">
      <alignment horizontal="center" vertical="center" wrapText="1"/>
    </xf>
    <xf numFmtId="0" fontId="0" fillId="2" borderId="39" xfId="0" applyFill="1" applyBorder="1" applyAlignment="1">
      <alignment horizontal="center" vertical="center" wrapText="1"/>
    </xf>
    <xf numFmtId="0" fontId="5" fillId="3" borderId="28" xfId="0" applyFont="1" applyFill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2" borderId="37" xfId="0" applyNumberFormat="1" applyFill="1" applyBorder="1" applyAlignment="1">
      <alignment horizontal="center" vertical="center" wrapText="1"/>
    </xf>
    <xf numFmtId="2" fontId="0" fillId="2" borderId="38" xfId="0" applyNumberFormat="1" applyFill="1" applyBorder="1" applyAlignment="1">
      <alignment horizontal="center" vertical="center" wrapText="1"/>
    </xf>
    <xf numFmtId="164" fontId="0" fillId="2" borderId="28" xfId="0" applyNumberFormat="1" applyFill="1" applyBorder="1" applyAlignment="1">
      <alignment horizontal="center"/>
    </xf>
    <xf numFmtId="2" fontId="0" fillId="0" borderId="0" xfId="0" applyNumberFormat="1" applyAlignment="1">
      <alignment horizontal="left"/>
    </xf>
    <xf numFmtId="164" fontId="0" fillId="5" borderId="28" xfId="0" applyNumberFormat="1" applyFill="1" applyBorder="1" applyAlignment="1">
      <alignment horizontal="center"/>
    </xf>
    <xf numFmtId="164" fontId="8" fillId="4" borderId="28" xfId="0" applyNumberFormat="1" applyFont="1" applyFill="1" applyBorder="1" applyAlignment="1">
      <alignment horizontal="center"/>
    </xf>
    <xf numFmtId="164" fontId="0" fillId="4" borderId="28" xfId="0" applyNumberFormat="1" applyFill="1" applyBorder="1" applyAlignment="1">
      <alignment horizontal="center"/>
    </xf>
    <xf numFmtId="1" fontId="7" fillId="2" borderId="1" xfId="0" applyNumberFormat="1" applyFont="1" applyFill="1" applyBorder="1" applyAlignment="1">
      <alignment horizontal="center" vertical="center"/>
    </xf>
    <xf numFmtId="0" fontId="0" fillId="2" borderId="4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48" xfId="0" applyNumberFormat="1" applyBorder="1" applyAlignment="1">
      <alignment horizontal="center"/>
    </xf>
    <xf numFmtId="0" fontId="0" fillId="2" borderId="49" xfId="0" applyFill="1" applyBorder="1" applyAlignment="1">
      <alignment horizontal="center"/>
    </xf>
    <xf numFmtId="0" fontId="0" fillId="2" borderId="48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1" fontId="0" fillId="0" borderId="23" xfId="0" applyNumberFormat="1" applyBorder="1" applyAlignment="1">
      <alignment horizontal="center"/>
    </xf>
    <xf numFmtId="164" fontId="0" fillId="2" borderId="47" xfId="0" applyNumberFormat="1" applyFill="1" applyBorder="1" applyAlignment="1">
      <alignment horizontal="center"/>
    </xf>
    <xf numFmtId="165" fontId="6" fillId="3" borderId="45" xfId="0" applyNumberFormat="1" applyFont="1" applyFill="1" applyBorder="1" applyAlignment="1">
      <alignment horizontal="center"/>
    </xf>
    <xf numFmtId="0" fontId="7" fillId="2" borderId="45" xfId="0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/>
    </xf>
    <xf numFmtId="2" fontId="7" fillId="2" borderId="45" xfId="0" applyNumberFormat="1" applyFont="1" applyFill="1" applyBorder="1" applyAlignment="1">
      <alignment horizontal="center" vertical="center"/>
    </xf>
    <xf numFmtId="165" fontId="6" fillId="3" borderId="23" xfId="0" applyNumberFormat="1" applyFont="1" applyFill="1" applyBorder="1" applyAlignment="1">
      <alignment horizontal="center"/>
    </xf>
    <xf numFmtId="0" fontId="7" fillId="2" borderId="23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/>
    </xf>
    <xf numFmtId="2" fontId="7" fillId="2" borderId="23" xfId="0" applyNumberFormat="1" applyFont="1" applyFill="1" applyBorder="1" applyAlignment="1">
      <alignment horizontal="center" vertical="center"/>
    </xf>
    <xf numFmtId="165" fontId="9" fillId="3" borderId="23" xfId="0" applyNumberFormat="1" applyFont="1" applyFill="1" applyBorder="1" applyAlignment="1">
      <alignment horizontal="center"/>
    </xf>
    <xf numFmtId="0" fontId="10" fillId="2" borderId="23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/>
    </xf>
    <xf numFmtId="2" fontId="10" fillId="2" borderId="23" xfId="0" applyNumberFormat="1" applyFont="1" applyFill="1" applyBorder="1" applyAlignment="1">
      <alignment horizontal="center" vertical="center"/>
    </xf>
    <xf numFmtId="164" fontId="8" fillId="2" borderId="47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1" fontId="8" fillId="0" borderId="45" xfId="0" applyNumberFormat="1" applyFont="1" applyBorder="1" applyAlignment="1">
      <alignment horizontal="center"/>
    </xf>
    <xf numFmtId="2" fontId="8" fillId="0" borderId="45" xfId="0" applyNumberFormat="1" applyFont="1" applyBorder="1" applyAlignment="1">
      <alignment horizontal="left"/>
    </xf>
    <xf numFmtId="1" fontId="8" fillId="0" borderId="23" xfId="0" applyNumberFormat="1" applyFont="1" applyBorder="1" applyAlignment="1">
      <alignment horizontal="center"/>
    </xf>
    <xf numFmtId="2" fontId="8" fillId="0" borderId="23" xfId="0" applyNumberFormat="1" applyFont="1" applyBorder="1" applyAlignment="1">
      <alignment horizontal="left"/>
    </xf>
    <xf numFmtId="2" fontId="8" fillId="0" borderId="50" xfId="0" applyNumberFormat="1" applyFont="1" applyBorder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0" fillId="2" borderId="52" xfId="0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3" fillId="0" borderId="32" xfId="0" applyFont="1" applyBorder="1" applyAlignment="1">
      <alignment horizontal="center"/>
    </xf>
    <xf numFmtId="164" fontId="0" fillId="6" borderId="55" xfId="0" applyNumberFormat="1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164" fontId="0" fillId="2" borderId="55" xfId="0" applyNumberFormat="1" applyFill="1" applyBorder="1" applyAlignment="1">
      <alignment horizontal="center"/>
    </xf>
    <xf numFmtId="0" fontId="0" fillId="2" borderId="57" xfId="0" applyFill="1" applyBorder="1" applyAlignment="1">
      <alignment horizontal="center" vertical="center" wrapText="1"/>
    </xf>
    <xf numFmtId="0" fontId="4" fillId="3" borderId="58" xfId="0" applyFont="1" applyFill="1" applyBorder="1" applyAlignment="1">
      <alignment horizontal="center"/>
    </xf>
    <xf numFmtId="0" fontId="0" fillId="2" borderId="58" xfId="0" applyFill="1" applyBorder="1" applyAlignment="1">
      <alignment horizontal="center"/>
    </xf>
    <xf numFmtId="164" fontId="0" fillId="2" borderId="59" xfId="0" applyNumberFormat="1" applyFill="1" applyBorder="1" applyAlignment="1">
      <alignment horizontal="center"/>
    </xf>
    <xf numFmtId="0" fontId="0" fillId="2" borderId="62" xfId="0" applyFill="1" applyBorder="1" applyAlignment="1">
      <alignment horizontal="center" vertical="center" wrapText="1"/>
    </xf>
    <xf numFmtId="0" fontId="0" fillId="2" borderId="63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0" fontId="0" fillId="2" borderId="50" xfId="0" applyFill="1" applyBorder="1" applyAlignment="1">
      <alignment horizontal="center" vertical="center" wrapText="1"/>
    </xf>
    <xf numFmtId="1" fontId="0" fillId="0" borderId="51" xfId="0" applyNumberFormat="1" applyBorder="1" applyAlignment="1">
      <alignment horizontal="center"/>
    </xf>
    <xf numFmtId="164" fontId="0" fillId="6" borderId="28" xfId="0" applyNumberForma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2" borderId="63" xfId="0" applyNumberFormat="1" applyFill="1" applyBorder="1" applyAlignment="1">
      <alignment horizontal="center"/>
    </xf>
    <xf numFmtId="164" fontId="0" fillId="6" borderId="63" xfId="0" applyNumberFormat="1" applyFill="1" applyBorder="1" applyAlignment="1">
      <alignment horizontal="center"/>
    </xf>
    <xf numFmtId="0" fontId="0" fillId="0" borderId="40" xfId="0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32" xfId="0" applyBorder="1" applyAlignment="1">
      <alignment horizontal="center"/>
    </xf>
    <xf numFmtId="164" fontId="8" fillId="2" borderId="63" xfId="0" applyNumberFormat="1" applyFont="1" applyFill="1" applyBorder="1" applyAlignment="1">
      <alignment horizontal="center"/>
    </xf>
    <xf numFmtId="164" fontId="8" fillId="6" borderId="63" xfId="0" applyNumberFormat="1" applyFont="1" applyFill="1" applyBorder="1" applyAlignment="1">
      <alignment horizontal="center"/>
    </xf>
    <xf numFmtId="2" fontId="8" fillId="2" borderId="23" xfId="0" applyNumberFormat="1" applyFont="1" applyFill="1" applyBorder="1" applyAlignment="1">
      <alignment horizontal="left"/>
    </xf>
    <xf numFmtId="164" fontId="8" fillId="2" borderId="67" xfId="0" applyNumberFormat="1" applyFont="1" applyFill="1" applyBorder="1" applyAlignment="1">
      <alignment horizontal="center"/>
    </xf>
    <xf numFmtId="0" fontId="8" fillId="0" borderId="68" xfId="0" applyFont="1" applyBorder="1" applyAlignment="1">
      <alignment horizontal="center"/>
    </xf>
    <xf numFmtId="1" fontId="8" fillId="0" borderId="68" xfId="0" applyNumberFormat="1" applyFont="1" applyBorder="1" applyAlignment="1">
      <alignment horizontal="center"/>
    </xf>
    <xf numFmtId="2" fontId="8" fillId="0" borderId="68" xfId="0" applyNumberFormat="1" applyFont="1" applyBorder="1" applyAlignment="1">
      <alignment horizontal="left"/>
    </xf>
    <xf numFmtId="0" fontId="0" fillId="0" borderId="48" xfId="0" applyBorder="1" applyAlignment="1">
      <alignment horizontal="center"/>
    </xf>
    <xf numFmtId="0" fontId="0" fillId="0" borderId="1" xfId="0" applyBorder="1" applyAlignment="1">
      <alignment horizontal="left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left"/>
    </xf>
    <xf numFmtId="164" fontId="0" fillId="6" borderId="59" xfId="0" applyNumberFormat="1" applyFill="1" applyBorder="1" applyAlignment="1">
      <alignment horizontal="center"/>
    </xf>
    <xf numFmtId="164" fontId="8" fillId="6" borderId="67" xfId="0" applyNumberFormat="1" applyFont="1" applyFill="1" applyBorder="1" applyAlignment="1">
      <alignment horizontal="center"/>
    </xf>
    <xf numFmtId="0" fontId="11" fillId="0" borderId="24" xfId="0" applyFont="1" applyBorder="1" applyAlignment="1">
      <alignment horizontal="center" vertical="center"/>
    </xf>
    <xf numFmtId="0" fontId="8" fillId="0" borderId="41" xfId="0" applyFont="1" applyBorder="1"/>
    <xf numFmtId="0" fontId="8" fillId="0" borderId="42" xfId="0" applyFont="1" applyBorder="1"/>
    <xf numFmtId="0" fontId="8" fillId="0" borderId="43" xfId="0" applyFont="1" applyBorder="1"/>
    <xf numFmtId="0" fontId="0" fillId="0" borderId="32" xfId="0" applyBorder="1" applyAlignment="1">
      <alignment horizontal="center" vertical="center"/>
    </xf>
    <xf numFmtId="0" fontId="4" fillId="3" borderId="23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7" borderId="28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2" xfId="0" applyFill="1" applyBorder="1" applyAlignment="1">
      <alignment horizontal="center"/>
    </xf>
    <xf numFmtId="0" fontId="0" fillId="7" borderId="1" xfId="0" applyFill="1" applyBorder="1"/>
    <xf numFmtId="0" fontId="0" fillId="2" borderId="41" xfId="0" applyFill="1" applyBorder="1" applyAlignment="1">
      <alignment horizontal="center"/>
    </xf>
    <xf numFmtId="0" fontId="0" fillId="2" borderId="42" xfId="0" applyFill="1" applyBorder="1" applyAlignment="1">
      <alignment horizontal="center"/>
    </xf>
    <xf numFmtId="0" fontId="0" fillId="2" borderId="60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6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53" xfId="0" applyFill="1" applyBorder="1" applyAlignment="1">
      <alignment horizontal="center"/>
    </xf>
    <xf numFmtId="0" fontId="0" fillId="2" borderId="5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Q54"/>
  <sheetViews>
    <sheetView topLeftCell="A41" workbookViewId="0">
      <pane xSplit="2" topLeftCell="T1" activePane="topRight" state="frozen"/>
      <selection pane="topRight" activeCell="X3" sqref="X3"/>
    </sheetView>
  </sheetViews>
  <sheetFormatPr defaultColWidth="9.140625" defaultRowHeight="15" customHeight="1"/>
  <cols>
    <col min="1" max="1" width="3.28515625" style="2" customWidth="1"/>
    <col min="2" max="2" width="11.140625" style="33" bestFit="1" customWidth="1"/>
    <col min="3" max="3" width="13.5703125" style="2" bestFit="1" customWidth="1"/>
    <col min="4" max="7" width="19.85546875" style="2" customWidth="1"/>
    <col min="8" max="8" width="12.140625" style="2" customWidth="1"/>
    <col min="9" max="9" width="21.28515625" style="2" customWidth="1"/>
    <col min="10" max="10" width="15" style="2" customWidth="1"/>
    <col min="11" max="11" width="17.5703125" style="2" customWidth="1"/>
    <col min="12" max="12" width="13.140625" style="2" customWidth="1"/>
    <col min="13" max="13" width="17.5703125" style="2" customWidth="1"/>
    <col min="14" max="14" width="18.42578125" style="2" bestFit="1" customWidth="1"/>
    <col min="15" max="16" width="11.7109375" style="2" customWidth="1"/>
    <col min="17" max="20" width="17.5703125" style="2" customWidth="1"/>
    <col min="21" max="21" width="14.7109375" style="2" customWidth="1"/>
    <col min="22" max="22" width="13.7109375" style="2" customWidth="1"/>
    <col min="23" max="23" width="20.140625" style="2" customWidth="1"/>
    <col min="24" max="24" width="14.5703125" style="2" customWidth="1"/>
    <col min="25" max="25" width="24.42578125" style="2" bestFit="1" customWidth="1"/>
    <col min="26" max="26" width="7.42578125" style="2" bestFit="1" customWidth="1"/>
    <col min="27" max="28" width="9.140625" style="2"/>
    <col min="29" max="29" width="8" style="2" customWidth="1"/>
    <col min="30" max="30" width="10.85546875" style="2" customWidth="1"/>
    <col min="31" max="31" width="14.28515625" style="2" customWidth="1"/>
    <col min="32" max="16384" width="9.140625" style="2"/>
  </cols>
  <sheetData>
    <row r="1" spans="2:31" ht="14.45">
      <c r="B1" s="171" t="s">
        <v>0</v>
      </c>
      <c r="C1" s="172"/>
      <c r="D1" s="172"/>
      <c r="E1" s="178" t="s">
        <v>1</v>
      </c>
      <c r="F1" s="179"/>
      <c r="G1" s="179"/>
      <c r="H1" s="179"/>
      <c r="I1" s="173" t="s">
        <v>2</v>
      </c>
      <c r="J1" s="174"/>
      <c r="K1" s="174"/>
      <c r="L1" s="174"/>
      <c r="M1" s="174"/>
      <c r="N1" s="175"/>
      <c r="O1" s="176" t="s">
        <v>3</v>
      </c>
      <c r="P1" s="176"/>
      <c r="Q1" s="176"/>
      <c r="R1" s="176"/>
      <c r="S1" s="176"/>
      <c r="T1" s="176"/>
      <c r="U1" s="176"/>
      <c r="V1" s="177"/>
      <c r="W1" s="172" t="s">
        <v>4</v>
      </c>
      <c r="X1" s="172"/>
      <c r="Y1" s="173" t="s">
        <v>5</v>
      </c>
      <c r="Z1" s="174"/>
      <c r="AA1" s="174"/>
      <c r="AB1" s="174"/>
      <c r="AC1" s="174"/>
      <c r="AD1" s="174"/>
      <c r="AE1" s="175"/>
    </row>
    <row r="2" spans="2:31" ht="50.25" customHeight="1">
      <c r="B2" s="83" t="s">
        <v>6</v>
      </c>
      <c r="C2" s="73" t="s">
        <v>7</v>
      </c>
      <c r="D2" s="74" t="s">
        <v>8</v>
      </c>
      <c r="E2" s="127" t="s">
        <v>9</v>
      </c>
      <c r="F2" s="6" t="s">
        <v>10</v>
      </c>
      <c r="G2" s="6" t="s">
        <v>11</v>
      </c>
      <c r="H2" s="133" t="s">
        <v>12</v>
      </c>
      <c r="I2" s="72" t="s">
        <v>13</v>
      </c>
      <c r="J2" s="73" t="s">
        <v>14</v>
      </c>
      <c r="K2" s="79" t="s">
        <v>15</v>
      </c>
      <c r="L2" s="73" t="s">
        <v>16</v>
      </c>
      <c r="M2" s="79" t="s">
        <v>17</v>
      </c>
      <c r="N2" s="74" t="s">
        <v>16</v>
      </c>
      <c r="O2" s="78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22</v>
      </c>
      <c r="U2" s="6" t="s">
        <v>23</v>
      </c>
      <c r="V2" s="131" t="s">
        <v>24</v>
      </c>
      <c r="W2" s="76" t="s">
        <v>25</v>
      </c>
      <c r="X2" s="137" t="s">
        <v>26</v>
      </c>
      <c r="Y2" s="72" t="s">
        <v>27</v>
      </c>
      <c r="Z2" s="73" t="s">
        <v>28</v>
      </c>
      <c r="AA2" s="79" t="s">
        <v>29</v>
      </c>
      <c r="AB2" s="73" t="s">
        <v>30</v>
      </c>
      <c r="AC2" s="73" t="s">
        <v>31</v>
      </c>
      <c r="AD2" s="73" t="s">
        <v>32</v>
      </c>
      <c r="AE2" s="74" t="s">
        <v>33</v>
      </c>
    </row>
    <row r="3" spans="2:31" ht="14.45">
      <c r="B3" s="85">
        <v>46204</v>
      </c>
      <c r="C3" s="26">
        <v>167.07</v>
      </c>
      <c r="D3" s="123" t="s">
        <v>34</v>
      </c>
      <c r="E3" s="128">
        <v>3.5</v>
      </c>
      <c r="F3" s="27">
        <v>3.5</v>
      </c>
      <c r="G3" s="27">
        <v>0</v>
      </c>
      <c r="H3" s="75">
        <v>0</v>
      </c>
      <c r="I3" s="80" t="s">
        <v>35</v>
      </c>
      <c r="J3" s="43">
        <f t="shared" ref="J3:N33" si="0">IF(I3=0,0,IF(ISNUMBER(I2),I3-I2,0))</f>
        <v>0</v>
      </c>
      <c r="K3" s="42"/>
      <c r="L3" s="44">
        <f t="shared" si="0"/>
        <v>0</v>
      </c>
      <c r="M3" s="42" t="s">
        <v>35</v>
      </c>
      <c r="N3" s="81">
        <f t="shared" si="0"/>
        <v>0</v>
      </c>
      <c r="O3" s="27" t="s">
        <v>35</v>
      </c>
      <c r="P3" s="27" t="s">
        <v>35</v>
      </c>
      <c r="Q3" s="27" t="s">
        <v>35</v>
      </c>
      <c r="R3" s="27" t="s">
        <v>35</v>
      </c>
      <c r="S3" s="27" t="s">
        <v>35</v>
      </c>
      <c r="T3" s="27" t="s">
        <v>35</v>
      </c>
      <c r="U3" s="27">
        <v>0</v>
      </c>
      <c r="V3" s="46">
        <v>82.6</v>
      </c>
      <c r="W3" s="27">
        <v>1486198</v>
      </c>
      <c r="X3" s="138">
        <f t="shared" ref="X3:X52" si="1">IF(OR(W3="",W4=""),0,IF(AND(ISNUMBER(W3),ISNUMBER(W4)),W4-W3,0))</f>
        <v>336</v>
      </c>
      <c r="Y3" s="45">
        <v>200398</v>
      </c>
      <c r="Z3" s="138">
        <f t="shared" ref="Z3:Z51" si="2">IF(OR(Y3="",Y4=""),0,IF(AND(ISNUMBER(Y3),ISNUMBER(Y4)),Y4-Y3,0))</f>
        <v>142</v>
      </c>
      <c r="AA3" s="165">
        <v>1520</v>
      </c>
      <c r="AB3" s="27" t="s">
        <v>35</v>
      </c>
      <c r="AC3" s="27">
        <v>6.91</v>
      </c>
      <c r="AD3" s="27">
        <v>7.6</v>
      </c>
      <c r="AE3" s="46">
        <v>129</v>
      </c>
    </row>
    <row r="4" spans="2:31" ht="14.45">
      <c r="B4" s="85">
        <v>46205</v>
      </c>
      <c r="C4" s="28">
        <v>74.13</v>
      </c>
      <c r="D4" s="48"/>
      <c r="E4" s="128">
        <v>3.5</v>
      </c>
      <c r="F4" s="25">
        <v>0</v>
      </c>
      <c r="G4" s="25">
        <v>100</v>
      </c>
      <c r="H4" s="53">
        <v>0</v>
      </c>
      <c r="I4" s="47"/>
      <c r="J4" s="35">
        <f t="shared" ref="J4" si="3">IF(I4=0,0,IF(ISNUMBER(I3),I4-I3,0))</f>
        <v>0</v>
      </c>
      <c r="K4" s="25"/>
      <c r="L4" s="35">
        <f t="shared" ref="L4" si="4">IF(K4=0,0,IF(ISNUMBER(K3),K4-K3,0))</f>
        <v>0</v>
      </c>
      <c r="M4" s="25"/>
      <c r="N4" s="77">
        <f t="shared" si="0"/>
        <v>0</v>
      </c>
      <c r="O4" s="25"/>
      <c r="P4" s="25"/>
      <c r="Q4" s="25"/>
      <c r="R4" s="25"/>
      <c r="S4" s="25"/>
      <c r="T4" s="25"/>
      <c r="U4" s="25">
        <v>77.2</v>
      </c>
      <c r="V4" s="48">
        <v>0</v>
      </c>
      <c r="W4" s="25">
        <v>1486534</v>
      </c>
      <c r="X4" s="138">
        <f t="shared" si="1"/>
        <v>341</v>
      </c>
      <c r="Y4" s="47">
        <v>200540</v>
      </c>
      <c r="Z4" s="138">
        <f t="shared" si="2"/>
        <v>110</v>
      </c>
      <c r="AA4" s="165">
        <v>2150</v>
      </c>
      <c r="AB4" s="25"/>
      <c r="AC4" s="25">
        <v>6.37</v>
      </c>
      <c r="AD4" s="25">
        <v>5.4</v>
      </c>
      <c r="AE4" s="48">
        <v>225</v>
      </c>
    </row>
    <row r="5" spans="2:31" ht="14.45">
      <c r="B5" s="85">
        <v>46206</v>
      </c>
      <c r="C5" s="28">
        <v>193.06</v>
      </c>
      <c r="D5" s="48"/>
      <c r="E5" s="128">
        <v>3.5</v>
      </c>
      <c r="F5" s="25">
        <v>3.5</v>
      </c>
      <c r="G5" s="25">
        <v>250</v>
      </c>
      <c r="H5" s="53">
        <v>0</v>
      </c>
      <c r="I5" s="47"/>
      <c r="J5" s="35">
        <f t="shared" ref="J5" si="5">IF(I5=0,0,IF(ISNUMBER(I4),I5-I4,0))</f>
        <v>0</v>
      </c>
      <c r="K5" s="25"/>
      <c r="L5" s="35">
        <f t="shared" ref="L5" si="6">IF(K5=0,0,IF(ISNUMBER(K4),K5-K4,0))</f>
        <v>0</v>
      </c>
      <c r="M5" s="25"/>
      <c r="N5" s="77">
        <f t="shared" si="0"/>
        <v>0</v>
      </c>
      <c r="O5" s="25"/>
      <c r="P5" s="25"/>
      <c r="Q5" s="25"/>
      <c r="R5" s="25"/>
      <c r="S5" s="25"/>
      <c r="T5" s="25"/>
      <c r="U5" s="25">
        <v>75.3</v>
      </c>
      <c r="V5" s="48">
        <v>86.2</v>
      </c>
      <c r="W5" s="25">
        <v>1486875</v>
      </c>
      <c r="X5" s="138">
        <f t="shared" si="1"/>
        <v>342</v>
      </c>
      <c r="Y5" s="47">
        <v>200650</v>
      </c>
      <c r="Z5" s="138">
        <f t="shared" si="2"/>
        <v>126</v>
      </c>
      <c r="AA5" s="165">
        <v>3430</v>
      </c>
      <c r="AB5" s="25"/>
      <c r="AC5" s="25">
        <v>6.48</v>
      </c>
      <c r="AD5" s="25">
        <v>5.93</v>
      </c>
      <c r="AE5" s="48">
        <v>112</v>
      </c>
    </row>
    <row r="6" spans="2:31" ht="14.45">
      <c r="B6" s="89">
        <v>46207</v>
      </c>
      <c r="C6" s="3">
        <v>33.770000000000003</v>
      </c>
      <c r="D6" s="50"/>
      <c r="E6" s="129">
        <v>0</v>
      </c>
      <c r="F6" s="3">
        <v>0</v>
      </c>
      <c r="G6" s="3">
        <v>0</v>
      </c>
      <c r="H6" s="120">
        <v>0</v>
      </c>
      <c r="I6" s="49"/>
      <c r="J6" s="35">
        <f t="shared" ref="J6" si="7">IF(I6=0,0,IF(ISNUMBER(I5),I6-I5,0))</f>
        <v>0</v>
      </c>
      <c r="K6" s="3"/>
      <c r="L6" s="35">
        <f t="shared" ref="L6" si="8">IF(K6=0,0,IF(ISNUMBER(K5),K6-K5,0))</f>
        <v>0</v>
      </c>
      <c r="M6" s="3"/>
      <c r="N6" s="77">
        <f t="shared" si="0"/>
        <v>0</v>
      </c>
      <c r="O6" s="55"/>
      <c r="P6" s="3"/>
      <c r="Q6" s="3"/>
      <c r="R6" s="3"/>
      <c r="S6" s="3"/>
      <c r="T6" s="3"/>
      <c r="U6" s="3">
        <v>0</v>
      </c>
      <c r="V6" s="50">
        <v>0</v>
      </c>
      <c r="W6" s="55">
        <v>1487217</v>
      </c>
      <c r="X6" s="138">
        <f t="shared" si="1"/>
        <v>341</v>
      </c>
      <c r="Y6" s="49">
        <v>200776</v>
      </c>
      <c r="Z6" s="138">
        <f t="shared" si="2"/>
        <v>38</v>
      </c>
      <c r="AA6" s="166"/>
      <c r="AB6" s="3"/>
      <c r="AC6" s="3"/>
      <c r="AD6" s="3"/>
      <c r="AE6" s="50"/>
    </row>
    <row r="7" spans="2:31" ht="14.45">
      <c r="B7" s="89">
        <v>46208</v>
      </c>
      <c r="C7" s="3">
        <v>0</v>
      </c>
      <c r="D7" s="50"/>
      <c r="E7" s="129">
        <v>0</v>
      </c>
      <c r="F7" s="3">
        <v>0</v>
      </c>
      <c r="G7" s="3">
        <v>0</v>
      </c>
      <c r="H7" s="120">
        <v>0</v>
      </c>
      <c r="I7" s="49"/>
      <c r="J7" s="35">
        <f t="shared" ref="J7" si="9">IF(I7=0,0,IF(ISNUMBER(I6),I7-I6,0))</f>
        <v>0</v>
      </c>
      <c r="K7" s="3"/>
      <c r="L7" s="35">
        <f t="shared" ref="L7" si="10">IF(K7=0,0,IF(ISNUMBER(K6),K7-K6,0))</f>
        <v>0</v>
      </c>
      <c r="M7" s="3"/>
      <c r="N7" s="77">
        <f t="shared" si="0"/>
        <v>0</v>
      </c>
      <c r="O7" s="55"/>
      <c r="P7" s="3"/>
      <c r="Q7" s="3"/>
      <c r="R7" s="3"/>
      <c r="S7" s="3"/>
      <c r="T7" s="3"/>
      <c r="U7" s="3">
        <v>0</v>
      </c>
      <c r="V7" s="50">
        <v>0</v>
      </c>
      <c r="W7" s="55">
        <v>1487558</v>
      </c>
      <c r="X7" s="138">
        <f t="shared" si="1"/>
        <v>341</v>
      </c>
      <c r="Y7" s="49">
        <v>200814</v>
      </c>
      <c r="Z7" s="138">
        <f t="shared" si="2"/>
        <v>0</v>
      </c>
      <c r="AA7" s="3"/>
      <c r="AB7" s="3"/>
      <c r="AC7" s="3"/>
      <c r="AD7" s="3"/>
      <c r="AE7" s="50"/>
    </row>
    <row r="8" spans="2:31" ht="14.45">
      <c r="B8" s="85">
        <v>46209</v>
      </c>
      <c r="C8" s="3">
        <v>161.35</v>
      </c>
      <c r="D8" s="50"/>
      <c r="E8" s="129">
        <v>7</v>
      </c>
      <c r="F8" s="3">
        <v>7</v>
      </c>
      <c r="G8" s="3">
        <v>0</v>
      </c>
      <c r="H8" s="120">
        <v>0</v>
      </c>
      <c r="I8" s="49"/>
      <c r="J8" s="35">
        <f t="shared" ref="J8" si="11">IF(I8=0,0,IF(ISNUMBER(I7),I8-I7,0))</f>
        <v>0</v>
      </c>
      <c r="K8" s="3"/>
      <c r="L8" s="35">
        <f t="shared" ref="L8" si="12">IF(K8=0,0,IF(ISNUMBER(K7),K8-K7,0))</f>
        <v>0</v>
      </c>
      <c r="M8" s="3"/>
      <c r="N8" s="77">
        <f t="shared" si="0"/>
        <v>0</v>
      </c>
      <c r="O8" s="55"/>
      <c r="P8" s="3"/>
      <c r="Q8" s="3"/>
      <c r="R8" s="3"/>
      <c r="S8" s="3"/>
      <c r="T8" s="3"/>
      <c r="U8" s="3">
        <v>0</v>
      </c>
      <c r="V8" s="50">
        <v>0</v>
      </c>
      <c r="W8" s="55">
        <v>1487899</v>
      </c>
      <c r="X8" s="138">
        <f t="shared" si="1"/>
        <v>333</v>
      </c>
      <c r="Y8" s="49">
        <v>200814</v>
      </c>
      <c r="Z8" s="138">
        <f t="shared" si="2"/>
        <v>141</v>
      </c>
      <c r="AA8" s="3">
        <v>3370</v>
      </c>
      <c r="AB8" s="3"/>
      <c r="AC8" s="3">
        <v>6.12</v>
      </c>
      <c r="AD8" s="3">
        <v>5.67</v>
      </c>
      <c r="AE8" s="50">
        <v>428</v>
      </c>
    </row>
    <row r="9" spans="2:31" ht="14.45">
      <c r="B9" s="85">
        <v>46210</v>
      </c>
      <c r="C9" s="3">
        <v>120.14</v>
      </c>
      <c r="D9" s="50"/>
      <c r="E9" s="122">
        <v>7</v>
      </c>
      <c r="F9" s="3">
        <v>0</v>
      </c>
      <c r="G9" s="54">
        <v>0</v>
      </c>
      <c r="H9" s="134">
        <v>0</v>
      </c>
      <c r="I9" s="49"/>
      <c r="J9" s="35">
        <f t="shared" ref="J9" si="13">IF(I9=0,0,IF(ISNUMBER(I8),I9-I8,0))</f>
        <v>0</v>
      </c>
      <c r="K9" s="3"/>
      <c r="L9" s="35">
        <f t="shared" ref="L9" si="14">IF(K9=0,0,IF(ISNUMBER(K8),K9-K8,0))</f>
        <v>0</v>
      </c>
      <c r="M9" s="3"/>
      <c r="N9" s="77">
        <f t="shared" si="0"/>
        <v>0</v>
      </c>
      <c r="O9" s="55"/>
      <c r="P9" s="3"/>
      <c r="Q9" s="3"/>
      <c r="R9" s="3"/>
      <c r="S9" s="3"/>
      <c r="T9" s="3"/>
      <c r="U9" s="3">
        <v>67.3</v>
      </c>
      <c r="V9" s="50">
        <v>63.3</v>
      </c>
      <c r="W9" s="55">
        <v>1488232</v>
      </c>
      <c r="X9" s="138">
        <f t="shared" si="1"/>
        <v>318</v>
      </c>
      <c r="Y9" s="49">
        <v>200955</v>
      </c>
      <c r="Z9" s="138">
        <f t="shared" si="2"/>
        <v>190</v>
      </c>
      <c r="AA9" s="3">
        <v>2710</v>
      </c>
      <c r="AB9" s="3"/>
      <c r="AC9" s="3">
        <v>5.82</v>
      </c>
      <c r="AD9" s="3">
        <v>7.99</v>
      </c>
      <c r="AE9" s="50">
        <v>134</v>
      </c>
    </row>
    <row r="10" spans="2:31" ht="14.45">
      <c r="B10" s="85">
        <v>46211</v>
      </c>
      <c r="C10" s="3">
        <v>132.78</v>
      </c>
      <c r="D10" s="50"/>
      <c r="E10" s="120">
        <v>3.5</v>
      </c>
      <c r="F10" s="3">
        <v>0</v>
      </c>
      <c r="G10" s="54">
        <v>0</v>
      </c>
      <c r="H10" s="134">
        <v>280</v>
      </c>
      <c r="I10" s="49"/>
      <c r="J10" s="35">
        <f t="shared" ref="J10" si="15">IF(I10=0,0,IF(ISNUMBER(I9),I10-I9,0))</f>
        <v>0</v>
      </c>
      <c r="K10" s="3"/>
      <c r="L10" s="35">
        <f t="shared" ref="L10" si="16">IF(K10=0,0,IF(ISNUMBER(K9),K10-K9,0))</f>
        <v>0</v>
      </c>
      <c r="M10" s="3"/>
      <c r="N10" s="77">
        <f t="shared" si="0"/>
        <v>0</v>
      </c>
      <c r="O10" s="55"/>
      <c r="P10" s="3"/>
      <c r="Q10" s="3"/>
      <c r="R10" s="3"/>
      <c r="S10" s="3"/>
      <c r="T10" s="3"/>
      <c r="U10" s="3">
        <v>49.9</v>
      </c>
      <c r="V10" s="50">
        <v>0</v>
      </c>
      <c r="W10" s="55">
        <v>1488550</v>
      </c>
      <c r="X10" s="138">
        <f t="shared" si="1"/>
        <v>333</v>
      </c>
      <c r="Y10" s="49">
        <v>201145</v>
      </c>
      <c r="Z10" s="138">
        <f t="shared" si="2"/>
        <v>151</v>
      </c>
      <c r="AA10" s="3">
        <v>1880</v>
      </c>
      <c r="AB10" s="3"/>
      <c r="AC10" s="3">
        <v>6.71</v>
      </c>
      <c r="AD10" s="3">
        <v>8.25</v>
      </c>
      <c r="AE10" s="50">
        <v>157</v>
      </c>
    </row>
    <row r="11" spans="2:31" ht="14.45">
      <c r="B11" s="85">
        <v>46212</v>
      </c>
      <c r="C11" s="3">
        <v>150.18</v>
      </c>
      <c r="D11" s="50"/>
      <c r="E11" s="120">
        <v>7</v>
      </c>
      <c r="F11" s="3">
        <v>3</v>
      </c>
      <c r="G11" s="54">
        <v>250</v>
      </c>
      <c r="H11" s="134">
        <v>0</v>
      </c>
      <c r="I11" s="49"/>
      <c r="J11" s="35">
        <f t="shared" ref="J11" si="17">IF(I11=0,0,IF(ISNUMBER(I10),I11-I10,0))</f>
        <v>0</v>
      </c>
      <c r="K11" s="3"/>
      <c r="L11" s="35">
        <f t="shared" ref="L11" si="18">IF(K11=0,0,IF(ISNUMBER(K10),K11-K10,0))</f>
        <v>0</v>
      </c>
      <c r="M11" s="3"/>
      <c r="N11" s="77">
        <f t="shared" si="0"/>
        <v>0</v>
      </c>
      <c r="O11" s="55"/>
      <c r="P11" s="3"/>
      <c r="Q11" s="3"/>
      <c r="R11" s="3"/>
      <c r="S11" s="3"/>
      <c r="T11" s="3"/>
      <c r="U11" s="3">
        <v>72.3</v>
      </c>
      <c r="V11" s="50">
        <v>0</v>
      </c>
      <c r="W11" s="55">
        <v>1488883</v>
      </c>
      <c r="X11" s="138">
        <f t="shared" si="1"/>
        <v>355</v>
      </c>
      <c r="Y11" s="49">
        <v>201296</v>
      </c>
      <c r="Z11" s="138">
        <f t="shared" si="2"/>
        <v>186</v>
      </c>
      <c r="AA11" s="3"/>
      <c r="AB11" s="3"/>
      <c r="AC11" s="3"/>
      <c r="AD11" s="3"/>
      <c r="AE11" s="50"/>
    </row>
    <row r="12" spans="2:31" ht="14.45">
      <c r="B12" s="85">
        <v>46213</v>
      </c>
      <c r="C12" s="3">
        <v>142.51</v>
      </c>
      <c r="D12" s="50"/>
      <c r="E12" s="120">
        <v>3.5</v>
      </c>
      <c r="F12" s="3">
        <v>0</v>
      </c>
      <c r="G12" s="54">
        <v>0</v>
      </c>
      <c r="H12" s="134">
        <v>0</v>
      </c>
      <c r="I12" s="49"/>
      <c r="J12" s="35">
        <f t="shared" ref="J12" si="19">IF(I12=0,0,IF(ISNUMBER(I11),I12-I11,0))</f>
        <v>0</v>
      </c>
      <c r="K12" s="3"/>
      <c r="L12" s="35">
        <f t="shared" ref="L12" si="20">IF(K12=0,0,IF(ISNUMBER(K11),K12-K11,0))</f>
        <v>0</v>
      </c>
      <c r="M12" s="3"/>
      <c r="N12" s="77">
        <f t="shared" si="0"/>
        <v>0</v>
      </c>
      <c r="O12" s="55"/>
      <c r="P12" s="3"/>
      <c r="Q12" s="3"/>
      <c r="R12" s="3"/>
      <c r="S12" s="3"/>
      <c r="T12" s="3"/>
      <c r="U12" s="3"/>
      <c r="V12" s="50"/>
      <c r="W12" s="55">
        <v>1489238</v>
      </c>
      <c r="X12" s="138">
        <f t="shared" si="1"/>
        <v>330</v>
      </c>
      <c r="Y12" s="49">
        <v>201482</v>
      </c>
      <c r="Z12" s="138">
        <f t="shared" si="2"/>
        <v>88</v>
      </c>
      <c r="AA12" s="3">
        <v>2800</v>
      </c>
      <c r="AB12" s="3"/>
      <c r="AC12" s="3">
        <v>6.44</v>
      </c>
      <c r="AD12" s="3">
        <v>6.25</v>
      </c>
      <c r="AE12" s="50">
        <v>195</v>
      </c>
    </row>
    <row r="13" spans="2:31" ht="14.45">
      <c r="B13" s="89">
        <v>46214</v>
      </c>
      <c r="C13" s="3">
        <v>88.18</v>
      </c>
      <c r="D13" s="50"/>
      <c r="E13" s="120">
        <v>0</v>
      </c>
      <c r="F13" s="3">
        <v>3.5</v>
      </c>
      <c r="G13" s="54">
        <v>0</v>
      </c>
      <c r="H13" s="134">
        <v>0</v>
      </c>
      <c r="I13" s="49"/>
      <c r="J13" s="35">
        <f t="shared" ref="J13" si="21">IF(I13=0,0,IF(ISNUMBER(I12),I13-I12,0))</f>
        <v>0</v>
      </c>
      <c r="K13" s="3"/>
      <c r="L13" s="35">
        <f t="shared" ref="L13" si="22">IF(K13=0,0,IF(ISNUMBER(K12),K13-K12,0))</f>
        <v>0</v>
      </c>
      <c r="M13" s="3"/>
      <c r="N13" s="77">
        <f t="shared" si="0"/>
        <v>0</v>
      </c>
      <c r="O13" s="55"/>
      <c r="P13" s="3"/>
      <c r="Q13" s="3"/>
      <c r="R13" s="3"/>
      <c r="S13" s="3"/>
      <c r="T13" s="3"/>
      <c r="U13" s="3"/>
      <c r="V13" s="50"/>
      <c r="W13" s="55">
        <v>1489568</v>
      </c>
      <c r="X13" s="138">
        <f t="shared" si="1"/>
        <v>363</v>
      </c>
      <c r="Y13" s="49">
        <v>201570</v>
      </c>
      <c r="Z13" s="138">
        <f t="shared" si="2"/>
        <v>99</v>
      </c>
      <c r="AA13" s="3">
        <v>2190</v>
      </c>
      <c r="AB13" s="3"/>
      <c r="AC13" s="3">
        <v>6.81</v>
      </c>
      <c r="AD13" s="3">
        <v>7.24</v>
      </c>
      <c r="AE13" s="50">
        <v>398</v>
      </c>
    </row>
    <row r="14" spans="2:31" ht="14.45">
      <c r="B14" s="89">
        <v>46215</v>
      </c>
      <c r="C14" s="3">
        <v>0</v>
      </c>
      <c r="D14" s="50"/>
      <c r="E14" s="120">
        <v>0</v>
      </c>
      <c r="F14" s="3">
        <v>0</v>
      </c>
      <c r="G14" s="54">
        <v>0</v>
      </c>
      <c r="H14" s="134">
        <v>0</v>
      </c>
      <c r="I14" s="49"/>
      <c r="J14" s="35">
        <f t="shared" ref="J14" si="23">IF(I14=0,0,IF(ISNUMBER(I13),I14-I13,0))</f>
        <v>0</v>
      </c>
      <c r="K14" s="3"/>
      <c r="L14" s="35">
        <f t="shared" ref="L14" si="24">IF(K14=0,0,IF(ISNUMBER(K13),K14-K13,0))</f>
        <v>0</v>
      </c>
      <c r="M14" s="3"/>
      <c r="N14" s="77">
        <f t="shared" si="0"/>
        <v>0</v>
      </c>
      <c r="O14" s="55"/>
      <c r="P14" s="3"/>
      <c r="Q14" s="3"/>
      <c r="R14" s="3"/>
      <c r="S14" s="3"/>
      <c r="T14" s="3"/>
      <c r="U14" s="3"/>
      <c r="V14" s="50"/>
      <c r="W14" s="55">
        <v>1489931</v>
      </c>
      <c r="X14" s="138">
        <f t="shared" si="1"/>
        <v>362</v>
      </c>
      <c r="Y14" s="49">
        <v>201669</v>
      </c>
      <c r="Z14" s="138">
        <f t="shared" si="2"/>
        <v>0</v>
      </c>
      <c r="AA14" s="3"/>
      <c r="AB14" s="3"/>
      <c r="AC14" s="3">
        <v>6.44</v>
      </c>
      <c r="AD14" s="3"/>
      <c r="AE14" s="50">
        <v>195</v>
      </c>
    </row>
    <row r="15" spans="2:31" ht="14.45">
      <c r="B15" s="85">
        <v>46216</v>
      </c>
      <c r="C15" s="3">
        <v>80.23</v>
      </c>
      <c r="D15" s="50"/>
      <c r="E15" s="120">
        <v>7</v>
      </c>
      <c r="F15" s="3">
        <v>3.5</v>
      </c>
      <c r="G15" s="54">
        <v>250</v>
      </c>
      <c r="H15" s="134">
        <v>0</v>
      </c>
      <c r="I15" s="49"/>
      <c r="J15" s="35">
        <f t="shared" ref="J15" si="25">IF(I15=0,0,IF(ISNUMBER(I14),I15-I14,0))</f>
        <v>0</v>
      </c>
      <c r="K15" s="3"/>
      <c r="L15" s="35">
        <f t="shared" ref="L15" si="26">IF(K15=0,0,IF(ISNUMBER(K14),K15-K14,0))</f>
        <v>0</v>
      </c>
      <c r="M15" s="3"/>
      <c r="N15" s="77">
        <f t="shared" si="0"/>
        <v>0</v>
      </c>
      <c r="O15" s="55"/>
      <c r="P15" s="3"/>
      <c r="Q15" s="3"/>
      <c r="R15" s="3"/>
      <c r="S15" s="3"/>
      <c r="T15" s="3"/>
      <c r="U15" s="3"/>
      <c r="V15" s="50"/>
      <c r="W15" s="55">
        <v>1490293</v>
      </c>
      <c r="X15" s="138">
        <f t="shared" si="1"/>
        <v>308</v>
      </c>
      <c r="Y15" s="49">
        <v>201669</v>
      </c>
      <c r="Z15" s="138">
        <f t="shared" si="2"/>
        <v>142</v>
      </c>
      <c r="AA15" s="3"/>
      <c r="AB15" s="3"/>
      <c r="AC15" s="3">
        <v>6.81</v>
      </c>
      <c r="AD15" s="3">
        <v>7.24</v>
      </c>
      <c r="AE15" s="50">
        <v>398</v>
      </c>
    </row>
    <row r="16" spans="2:31" ht="14.45">
      <c r="B16" s="85">
        <v>46217</v>
      </c>
      <c r="C16" s="3">
        <v>101.24</v>
      </c>
      <c r="D16" s="50"/>
      <c r="E16" s="120">
        <v>3.5</v>
      </c>
      <c r="F16" s="3">
        <v>0</v>
      </c>
      <c r="G16" s="54">
        <v>0</v>
      </c>
      <c r="H16" s="134">
        <v>120</v>
      </c>
      <c r="I16" s="49"/>
      <c r="J16" s="35">
        <f t="shared" ref="J16" si="27">IF(I16=0,0,IF(ISNUMBER(I15),I16-I15,0))</f>
        <v>0</v>
      </c>
      <c r="K16" s="3"/>
      <c r="L16" s="35">
        <f t="shared" ref="L16" si="28">IF(K16=0,0,IF(ISNUMBER(K15),K16-K15,0))</f>
        <v>0</v>
      </c>
      <c r="M16" s="3"/>
      <c r="N16" s="77">
        <f t="shared" si="0"/>
        <v>0</v>
      </c>
      <c r="O16" s="55"/>
      <c r="P16" s="3"/>
      <c r="Q16" s="3"/>
      <c r="R16" s="3"/>
      <c r="S16" s="3"/>
      <c r="T16" s="3"/>
      <c r="U16" s="3"/>
      <c r="V16" s="50"/>
      <c r="W16" s="55">
        <v>1490601</v>
      </c>
      <c r="X16" s="138">
        <f t="shared" si="1"/>
        <v>224</v>
      </c>
      <c r="Y16" s="49">
        <v>201811</v>
      </c>
      <c r="Z16" s="138">
        <f t="shared" si="2"/>
        <v>118</v>
      </c>
      <c r="AA16" s="3">
        <v>5840</v>
      </c>
      <c r="AB16" s="3"/>
      <c r="AC16" s="3">
        <v>5.74</v>
      </c>
      <c r="AD16" s="3">
        <v>4.82</v>
      </c>
      <c r="AE16" s="50">
        <v>290</v>
      </c>
    </row>
    <row r="17" spans="2:31" ht="14.45">
      <c r="B17" s="85">
        <v>46218</v>
      </c>
      <c r="C17" s="3"/>
      <c r="D17" s="50"/>
      <c r="E17" s="120"/>
      <c r="F17" s="3"/>
      <c r="G17" s="54"/>
      <c r="H17" s="134"/>
      <c r="I17" s="49"/>
      <c r="J17" s="35">
        <f t="shared" ref="J17" si="29">IF(I17=0,0,IF(ISNUMBER(I16),I17-I16,0))</f>
        <v>0</v>
      </c>
      <c r="K17" s="3"/>
      <c r="L17" s="35">
        <f t="shared" ref="L17" si="30">IF(K17=0,0,IF(ISNUMBER(K16),K17-K16,0))</f>
        <v>0</v>
      </c>
      <c r="M17" s="3"/>
      <c r="N17" s="77">
        <f t="shared" si="0"/>
        <v>0</v>
      </c>
      <c r="O17" s="55"/>
      <c r="P17" s="3"/>
      <c r="Q17" s="3"/>
      <c r="R17" s="3"/>
      <c r="S17" s="3"/>
      <c r="T17" s="3"/>
      <c r="U17" s="3"/>
      <c r="V17" s="50"/>
      <c r="W17" s="55">
        <v>1490825</v>
      </c>
      <c r="X17" s="138">
        <f t="shared" si="1"/>
        <v>0</v>
      </c>
      <c r="Y17" s="49">
        <v>201929</v>
      </c>
      <c r="Z17" s="138">
        <f t="shared" si="2"/>
        <v>0</v>
      </c>
      <c r="AA17" s="3">
        <v>10130</v>
      </c>
      <c r="AB17" s="3"/>
      <c r="AC17" s="3">
        <v>6.03</v>
      </c>
      <c r="AD17" s="3">
        <v>10.1</v>
      </c>
      <c r="AE17" s="50">
        <v>490</v>
      </c>
    </row>
    <row r="18" spans="2:31" ht="14.45">
      <c r="B18" s="85">
        <v>46219</v>
      </c>
      <c r="C18" s="3"/>
      <c r="D18" s="50"/>
      <c r="E18" s="120"/>
      <c r="F18" s="3"/>
      <c r="G18" s="54"/>
      <c r="H18" s="134"/>
      <c r="I18" s="49"/>
      <c r="J18" s="35">
        <f t="shared" ref="J18" si="31">IF(I18=0,0,IF(ISNUMBER(I17),I18-I17,0))</f>
        <v>0</v>
      </c>
      <c r="K18" s="3"/>
      <c r="L18" s="35">
        <f t="shared" ref="L18" si="32">IF(K18=0,0,IF(ISNUMBER(K17),K18-K17,0))</f>
        <v>0</v>
      </c>
      <c r="M18" s="3"/>
      <c r="N18" s="77">
        <f t="shared" si="0"/>
        <v>0</v>
      </c>
      <c r="O18" s="55"/>
      <c r="P18" s="3"/>
      <c r="Q18" s="3"/>
      <c r="R18" s="3"/>
      <c r="S18" s="3"/>
      <c r="T18" s="3"/>
      <c r="U18" s="3"/>
      <c r="V18" s="50"/>
      <c r="W18" s="55"/>
      <c r="X18" s="138">
        <f t="shared" si="1"/>
        <v>0</v>
      </c>
      <c r="Y18" s="49"/>
      <c r="Z18" s="138">
        <f t="shared" si="2"/>
        <v>0</v>
      </c>
      <c r="AA18" s="3"/>
      <c r="AB18" s="3"/>
      <c r="AC18" s="3"/>
      <c r="AD18" s="3"/>
      <c r="AE18" s="50"/>
    </row>
    <row r="19" spans="2:31" ht="14.45">
      <c r="B19" s="85">
        <v>46220</v>
      </c>
      <c r="C19" s="3"/>
      <c r="D19" s="50"/>
      <c r="E19" s="120"/>
      <c r="F19" s="3"/>
      <c r="G19" s="54"/>
      <c r="H19" s="134"/>
      <c r="I19" s="49"/>
      <c r="J19" s="35">
        <f t="shared" ref="J19" si="33">IF(I19=0,0,IF(ISNUMBER(I18),I19-I18,0))</f>
        <v>0</v>
      </c>
      <c r="K19" s="3"/>
      <c r="L19" s="35">
        <f t="shared" ref="L19" si="34">IF(K19=0,0,IF(ISNUMBER(K18),K19-K18,0))</f>
        <v>0</v>
      </c>
      <c r="M19" s="3"/>
      <c r="N19" s="77">
        <f t="shared" si="0"/>
        <v>0</v>
      </c>
      <c r="O19" s="55"/>
      <c r="P19" s="3"/>
      <c r="Q19" s="3"/>
      <c r="R19" s="3"/>
      <c r="S19" s="3"/>
      <c r="T19" s="3"/>
      <c r="U19" s="3"/>
      <c r="V19" s="50"/>
      <c r="W19" s="55"/>
      <c r="X19" s="138">
        <f t="shared" si="1"/>
        <v>0</v>
      </c>
      <c r="Y19" s="49"/>
      <c r="Z19" s="138">
        <f t="shared" si="2"/>
        <v>0</v>
      </c>
      <c r="AA19" s="3"/>
      <c r="AB19" s="3"/>
      <c r="AC19" s="3"/>
      <c r="AD19" s="3"/>
      <c r="AE19" s="50"/>
    </row>
    <row r="20" spans="2:31" ht="14.45">
      <c r="B20" s="89">
        <v>46221</v>
      </c>
      <c r="C20" s="3">
        <v>13.15</v>
      </c>
      <c r="D20" s="50"/>
      <c r="E20" s="120"/>
      <c r="F20" s="3"/>
      <c r="G20" s="54"/>
      <c r="H20" s="134"/>
      <c r="I20" s="49"/>
      <c r="J20" s="35">
        <f t="shared" ref="J20" si="35">IF(I20=0,0,IF(ISNUMBER(I19),I20-I19,0))</f>
        <v>0</v>
      </c>
      <c r="K20" s="3"/>
      <c r="L20" s="35">
        <f t="shared" ref="L20" si="36">IF(K20=0,0,IF(ISNUMBER(K19),K20-K19,0))</f>
        <v>0</v>
      </c>
      <c r="M20" s="3"/>
      <c r="N20" s="77">
        <f t="shared" si="0"/>
        <v>0</v>
      </c>
      <c r="O20" s="55"/>
      <c r="P20" s="3"/>
      <c r="Q20" s="3"/>
      <c r="R20" s="3"/>
      <c r="S20" s="3"/>
      <c r="T20" s="3"/>
      <c r="U20" s="3"/>
      <c r="V20" s="50"/>
      <c r="W20" s="55">
        <v>1491850</v>
      </c>
      <c r="X20" s="138">
        <f t="shared" si="1"/>
        <v>332</v>
      </c>
      <c r="Y20" s="49">
        <v>202339</v>
      </c>
      <c r="Z20" s="138">
        <f t="shared" si="2"/>
        <v>33</v>
      </c>
      <c r="AA20" s="3"/>
      <c r="AB20" s="3"/>
      <c r="AC20" s="3"/>
      <c r="AD20" s="3"/>
      <c r="AE20" s="50"/>
    </row>
    <row r="21" spans="2:31" ht="14.45">
      <c r="B21" s="89">
        <v>46222</v>
      </c>
      <c r="C21" s="3">
        <v>0</v>
      </c>
      <c r="D21" s="50"/>
      <c r="E21" s="120"/>
      <c r="F21" s="3"/>
      <c r="G21" s="54"/>
      <c r="H21" s="134"/>
      <c r="I21" s="49"/>
      <c r="J21" s="35">
        <f t="shared" ref="J21" si="37">IF(I21=0,0,IF(ISNUMBER(I20),I21-I20,0))</f>
        <v>0</v>
      </c>
      <c r="K21" s="3"/>
      <c r="L21" s="35">
        <f t="shared" ref="L21" si="38">IF(K21=0,0,IF(ISNUMBER(K20),K21-K20,0))</f>
        <v>0</v>
      </c>
      <c r="M21" s="3"/>
      <c r="N21" s="77">
        <f t="shared" si="0"/>
        <v>0</v>
      </c>
      <c r="O21" s="55"/>
      <c r="P21" s="3"/>
      <c r="Q21" s="3"/>
      <c r="R21" s="3"/>
      <c r="S21" s="3"/>
      <c r="T21" s="3"/>
      <c r="U21" s="3"/>
      <c r="V21" s="50"/>
      <c r="W21" s="55">
        <v>1492182</v>
      </c>
      <c r="X21" s="138">
        <f t="shared" si="1"/>
        <v>332</v>
      </c>
      <c r="Y21" s="49">
        <v>202372</v>
      </c>
      <c r="Z21" s="138">
        <f t="shared" si="2"/>
        <v>0</v>
      </c>
      <c r="AA21" s="3"/>
      <c r="AB21" s="3"/>
      <c r="AC21" s="3"/>
      <c r="AD21" s="3"/>
      <c r="AE21" s="50"/>
    </row>
    <row r="22" spans="2:31" ht="14.45">
      <c r="B22" s="85">
        <v>46223</v>
      </c>
      <c r="C22" s="3">
        <v>119.65</v>
      </c>
      <c r="D22" s="50"/>
      <c r="E22" s="120">
        <v>7</v>
      </c>
      <c r="F22" s="3">
        <v>3</v>
      </c>
      <c r="G22" s="54">
        <v>250</v>
      </c>
      <c r="H22" s="134">
        <v>0</v>
      </c>
      <c r="I22" s="49"/>
      <c r="J22" s="35">
        <f t="shared" ref="J22" si="39">IF(I22=0,0,IF(ISNUMBER(I21),I22-I21,0))</f>
        <v>0</v>
      </c>
      <c r="K22" s="3"/>
      <c r="L22" s="35">
        <f t="shared" ref="L22" si="40">IF(K22=0,0,IF(ISNUMBER(K21),K22-K21,0))</f>
        <v>0</v>
      </c>
      <c r="M22" s="3"/>
      <c r="N22" s="77">
        <f t="shared" si="0"/>
        <v>0</v>
      </c>
      <c r="O22" s="55"/>
      <c r="P22" s="3"/>
      <c r="Q22" s="3"/>
      <c r="R22" s="3"/>
      <c r="S22" s="3"/>
      <c r="T22" s="3"/>
      <c r="U22" s="3">
        <v>72.2</v>
      </c>
      <c r="V22" s="50">
        <v>60.7</v>
      </c>
      <c r="W22" s="55">
        <v>1492514</v>
      </c>
      <c r="X22" s="138">
        <f t="shared" si="1"/>
        <v>319</v>
      </c>
      <c r="Y22" s="49">
        <v>202372</v>
      </c>
      <c r="Z22" s="138">
        <f t="shared" si="2"/>
        <v>169</v>
      </c>
      <c r="AA22" s="3">
        <v>3560</v>
      </c>
      <c r="AB22" s="3"/>
      <c r="AC22" s="3">
        <v>5.79</v>
      </c>
      <c r="AD22" s="3">
        <v>3.68</v>
      </c>
      <c r="AE22" s="50">
        <v>474</v>
      </c>
    </row>
    <row r="23" spans="2:31" ht="14.45">
      <c r="B23" s="85">
        <v>46224</v>
      </c>
      <c r="C23" s="3">
        <v>92.21</v>
      </c>
      <c r="D23" s="50"/>
      <c r="E23" s="120">
        <v>3.5</v>
      </c>
      <c r="F23" s="3">
        <v>3</v>
      </c>
      <c r="G23" s="54">
        <v>0</v>
      </c>
      <c r="H23" s="134">
        <v>0</v>
      </c>
      <c r="I23" s="49"/>
      <c r="J23" s="35">
        <f t="shared" ref="J23" si="41">IF(I23=0,0,IF(ISNUMBER(I22),I23-I22,0))</f>
        <v>0</v>
      </c>
      <c r="K23" s="3"/>
      <c r="L23" s="35">
        <f t="shared" ref="L23" si="42">IF(K23=0,0,IF(ISNUMBER(K22),K23-K22,0))</f>
        <v>0</v>
      </c>
      <c r="M23" s="3"/>
      <c r="N23" s="77">
        <f t="shared" si="0"/>
        <v>0</v>
      </c>
      <c r="O23" s="55"/>
      <c r="P23" s="3"/>
      <c r="Q23" s="3"/>
      <c r="R23" s="3"/>
      <c r="S23" s="3"/>
      <c r="T23" s="3"/>
      <c r="U23" s="3"/>
      <c r="V23" s="50"/>
      <c r="W23" s="55">
        <v>1492833</v>
      </c>
      <c r="X23" s="138">
        <f t="shared" si="1"/>
        <v>295</v>
      </c>
      <c r="Y23" s="49">
        <v>202541</v>
      </c>
      <c r="Z23" s="138">
        <f t="shared" si="2"/>
        <v>140</v>
      </c>
      <c r="AA23" s="3">
        <v>4820</v>
      </c>
      <c r="AB23" s="3"/>
      <c r="AC23" s="3">
        <v>5.73</v>
      </c>
      <c r="AD23" s="3">
        <v>4.37</v>
      </c>
      <c r="AE23" s="50">
        <v>651</v>
      </c>
    </row>
    <row r="24" spans="2:31" ht="14.45">
      <c r="B24" s="85">
        <v>46225</v>
      </c>
      <c r="C24" s="3">
        <v>141.91999999999999</v>
      </c>
      <c r="D24" s="50"/>
      <c r="E24" s="120">
        <v>7</v>
      </c>
      <c r="F24" s="3">
        <v>6.5</v>
      </c>
      <c r="G24" s="54">
        <v>250</v>
      </c>
      <c r="H24" s="134">
        <v>0</v>
      </c>
      <c r="I24" s="49"/>
      <c r="J24" s="35">
        <f t="shared" ref="J24" si="43">IF(I24=0,0,IF(ISNUMBER(I23),I24-I23,0))</f>
        <v>0</v>
      </c>
      <c r="K24" s="3"/>
      <c r="L24" s="35">
        <f t="shared" ref="L24" si="44">IF(K24=0,0,IF(ISNUMBER(K23),K24-K23,0))</f>
        <v>0</v>
      </c>
      <c r="M24" s="3"/>
      <c r="N24" s="77">
        <f t="shared" si="0"/>
        <v>0</v>
      </c>
      <c r="O24" s="55"/>
      <c r="P24" s="3"/>
      <c r="Q24" s="3"/>
      <c r="R24" s="3"/>
      <c r="S24" s="3"/>
      <c r="T24" s="3"/>
      <c r="U24" s="3"/>
      <c r="V24" s="50"/>
      <c r="W24" s="55">
        <v>1493128</v>
      </c>
      <c r="X24" s="138">
        <f t="shared" si="1"/>
        <v>322</v>
      </c>
      <c r="Y24" s="49">
        <v>202681</v>
      </c>
      <c r="Z24" s="138">
        <f t="shared" si="2"/>
        <v>122</v>
      </c>
      <c r="AA24" s="3">
        <v>2580</v>
      </c>
      <c r="AB24" s="3"/>
      <c r="AC24" s="3">
        <v>6.58</v>
      </c>
      <c r="AD24" s="3">
        <v>4.8</v>
      </c>
      <c r="AE24" s="50">
        <v>432</v>
      </c>
    </row>
    <row r="25" spans="2:31" ht="14.45">
      <c r="B25" s="85">
        <v>46226</v>
      </c>
      <c r="C25" s="3">
        <v>51.39</v>
      </c>
      <c r="D25" s="50"/>
      <c r="E25" s="120">
        <v>3.5</v>
      </c>
      <c r="F25" s="3">
        <v>0</v>
      </c>
      <c r="G25" s="54">
        <v>0</v>
      </c>
      <c r="H25" s="134">
        <v>0</v>
      </c>
      <c r="I25" s="49"/>
      <c r="J25" s="35">
        <f t="shared" ref="J25" si="45">IF(I25=0,0,IF(ISNUMBER(I24),I25-I24,0))</f>
        <v>0</v>
      </c>
      <c r="K25" s="3"/>
      <c r="L25" s="35">
        <f t="shared" ref="L25" si="46">IF(K25=0,0,IF(ISNUMBER(K24),K25-K24,0))</f>
        <v>0</v>
      </c>
      <c r="M25" s="3"/>
      <c r="N25" s="77">
        <f t="shared" si="0"/>
        <v>0</v>
      </c>
      <c r="O25" s="55"/>
      <c r="P25" s="3"/>
      <c r="Q25" s="3"/>
      <c r="R25" s="3"/>
      <c r="S25" s="3"/>
      <c r="T25" s="3"/>
      <c r="U25" s="3"/>
      <c r="V25" s="50"/>
      <c r="W25" s="55">
        <v>1493450</v>
      </c>
      <c r="X25" s="138">
        <f t="shared" si="1"/>
        <v>285</v>
      </c>
      <c r="Y25" s="49">
        <v>202803</v>
      </c>
      <c r="Z25" s="138">
        <f t="shared" si="2"/>
        <v>113</v>
      </c>
      <c r="AA25" s="3">
        <v>1670</v>
      </c>
      <c r="AB25" s="3"/>
      <c r="AC25" s="3">
        <v>6.61</v>
      </c>
      <c r="AD25" s="3">
        <v>5.1100000000000003</v>
      </c>
      <c r="AE25" s="50">
        <v>220</v>
      </c>
    </row>
    <row r="26" spans="2:31" ht="14.45">
      <c r="B26" s="85">
        <v>46227</v>
      </c>
      <c r="C26" s="3">
        <v>153.41999999999999</v>
      </c>
      <c r="D26" s="50"/>
      <c r="E26" s="120">
        <v>3.5</v>
      </c>
      <c r="F26" s="3">
        <v>0</v>
      </c>
      <c r="G26" s="54">
        <v>0</v>
      </c>
      <c r="H26" s="134">
        <v>0</v>
      </c>
      <c r="I26" s="49"/>
      <c r="J26" s="35">
        <f t="shared" ref="J26" si="47">IF(I26=0,0,IF(ISNUMBER(I25),I26-I25,0))</f>
        <v>0</v>
      </c>
      <c r="K26" s="3"/>
      <c r="L26" s="35">
        <f t="shared" ref="L26" si="48">IF(K26=0,0,IF(ISNUMBER(K25),K26-K25,0))</f>
        <v>0</v>
      </c>
      <c r="M26" s="3"/>
      <c r="N26" s="77">
        <f t="shared" si="0"/>
        <v>0</v>
      </c>
      <c r="O26" s="55"/>
      <c r="P26" s="3"/>
      <c r="Q26" s="3"/>
      <c r="R26" s="3"/>
      <c r="S26" s="3"/>
      <c r="T26" s="3"/>
      <c r="U26" s="3"/>
      <c r="V26" s="50"/>
      <c r="W26" s="55">
        <v>1493735</v>
      </c>
      <c r="X26" s="138">
        <f t="shared" si="1"/>
        <v>357</v>
      </c>
      <c r="Y26" s="49">
        <v>202916</v>
      </c>
      <c r="Z26" s="138">
        <f t="shared" si="2"/>
        <v>230</v>
      </c>
      <c r="AA26" s="141">
        <v>4880</v>
      </c>
      <c r="AB26" s="3"/>
      <c r="AC26" s="3">
        <v>5.84</v>
      </c>
      <c r="AD26" s="3">
        <v>4.28</v>
      </c>
      <c r="AE26" s="50">
        <v>535</v>
      </c>
    </row>
    <row r="27" spans="2:31" ht="14.45">
      <c r="B27" s="139">
        <v>46228</v>
      </c>
      <c r="C27" s="3"/>
      <c r="D27" s="50"/>
      <c r="E27" s="120"/>
      <c r="F27" s="3"/>
      <c r="G27" s="54"/>
      <c r="H27" s="134"/>
      <c r="I27" s="49"/>
      <c r="J27" s="35">
        <f t="shared" ref="J27" si="49">IF(I27=0,0,IF(ISNUMBER(I26),I27-I26,0))</f>
        <v>0</v>
      </c>
      <c r="K27" s="3"/>
      <c r="L27" s="35">
        <f t="shared" ref="L27" si="50">IF(K27=0,0,IF(ISNUMBER(K26),K27-K26,0))</f>
        <v>0</v>
      </c>
      <c r="M27" s="3"/>
      <c r="N27" s="77">
        <f t="shared" si="0"/>
        <v>0</v>
      </c>
      <c r="O27" s="55"/>
      <c r="P27" s="3"/>
      <c r="Q27" s="3"/>
      <c r="R27" s="3"/>
      <c r="S27" s="3"/>
      <c r="T27" s="3"/>
      <c r="U27" s="3"/>
      <c r="V27" s="50"/>
      <c r="W27" s="55">
        <v>1494092</v>
      </c>
      <c r="X27" s="138">
        <f t="shared" si="1"/>
        <v>0</v>
      </c>
      <c r="Y27" s="49">
        <v>203146</v>
      </c>
      <c r="Z27" s="138">
        <f t="shared" si="2"/>
        <v>0</v>
      </c>
      <c r="AA27" s="3"/>
      <c r="AB27" s="3"/>
      <c r="AC27" s="3"/>
      <c r="AD27" s="3"/>
      <c r="AE27" s="50"/>
    </row>
    <row r="28" spans="2:31" ht="14.45">
      <c r="B28" s="139">
        <v>46229</v>
      </c>
      <c r="C28" s="3"/>
      <c r="D28" s="50"/>
      <c r="E28" s="120"/>
      <c r="F28" s="3"/>
      <c r="G28" s="54"/>
      <c r="H28" s="134"/>
      <c r="I28" s="49"/>
      <c r="J28" s="35">
        <f t="shared" ref="J28" si="51">IF(I28=0,0,IF(ISNUMBER(I27),I28-I27,0))</f>
        <v>0</v>
      </c>
      <c r="K28" s="3"/>
      <c r="L28" s="35">
        <f t="shared" ref="L28" si="52">IF(K28=0,0,IF(ISNUMBER(K27),K28-K27,0))</f>
        <v>0</v>
      </c>
      <c r="M28" s="3"/>
      <c r="N28" s="77">
        <f t="shared" si="0"/>
        <v>0</v>
      </c>
      <c r="O28" s="55"/>
      <c r="P28" s="3"/>
      <c r="Q28" s="3"/>
      <c r="R28" s="3"/>
      <c r="S28" s="3"/>
      <c r="T28" s="3"/>
      <c r="U28" s="3"/>
      <c r="V28" s="50"/>
      <c r="W28" s="55"/>
      <c r="X28" s="138">
        <f t="shared" si="1"/>
        <v>0</v>
      </c>
      <c r="Y28" s="49"/>
      <c r="Z28" s="138">
        <f t="shared" si="2"/>
        <v>0</v>
      </c>
      <c r="AA28" s="3"/>
      <c r="AB28" s="3"/>
      <c r="AC28" s="3"/>
      <c r="AD28" s="3"/>
      <c r="AE28" s="50"/>
    </row>
    <row r="29" spans="2:31" ht="14.45">
      <c r="B29" s="85">
        <v>46230</v>
      </c>
      <c r="C29" s="3">
        <v>148.78</v>
      </c>
      <c r="D29" s="50"/>
      <c r="E29" s="120">
        <v>7</v>
      </c>
      <c r="F29" s="3">
        <v>3.5</v>
      </c>
      <c r="G29" s="54"/>
      <c r="H29" s="134"/>
      <c r="I29" s="49"/>
      <c r="J29" s="35">
        <f t="shared" ref="J29" si="53">IF(I29=0,0,IF(ISNUMBER(I28),I29-I28,0))</f>
        <v>0</v>
      </c>
      <c r="K29" s="3"/>
      <c r="L29" s="35">
        <f t="shared" ref="L29" si="54">IF(K29=0,0,IF(ISNUMBER(K28),K29-K28,0))</f>
        <v>0</v>
      </c>
      <c r="M29" s="3"/>
      <c r="N29" s="77">
        <f t="shared" si="0"/>
        <v>0</v>
      </c>
      <c r="O29" s="55"/>
      <c r="P29" s="3"/>
      <c r="Q29" s="3"/>
      <c r="R29" s="3"/>
      <c r="S29" s="3"/>
      <c r="T29" s="3"/>
      <c r="U29" s="3"/>
      <c r="V29" s="50"/>
      <c r="W29" s="55">
        <v>1494810</v>
      </c>
      <c r="X29" s="138">
        <f t="shared" si="1"/>
        <v>338</v>
      </c>
      <c r="Y29" s="49">
        <v>203146</v>
      </c>
      <c r="Z29" s="138">
        <f t="shared" si="2"/>
        <v>180</v>
      </c>
      <c r="AA29" s="3">
        <v>4880</v>
      </c>
      <c r="AB29" s="3"/>
      <c r="AC29" s="3">
        <v>5.84</v>
      </c>
      <c r="AD29" s="3">
        <v>4.28</v>
      </c>
      <c r="AE29" s="50">
        <v>535</v>
      </c>
    </row>
    <row r="30" spans="2:31" ht="14.45">
      <c r="B30" s="85">
        <v>46231</v>
      </c>
      <c r="C30" s="3"/>
      <c r="D30" s="50"/>
      <c r="E30" s="120"/>
      <c r="F30" s="3"/>
      <c r="G30" s="54"/>
      <c r="H30" s="134"/>
      <c r="I30" s="49"/>
      <c r="J30" s="35">
        <f t="shared" ref="J30" si="55">IF(I30=0,0,IF(ISNUMBER(I29),I30-I29,0))</f>
        <v>0</v>
      </c>
      <c r="K30" s="3"/>
      <c r="L30" s="35">
        <f t="shared" ref="L30" si="56">IF(K30=0,0,IF(ISNUMBER(K29),K30-K29,0))</f>
        <v>0</v>
      </c>
      <c r="M30" s="3"/>
      <c r="N30" s="77">
        <f t="shared" si="0"/>
        <v>0</v>
      </c>
      <c r="O30" s="55"/>
      <c r="P30" s="3"/>
      <c r="Q30" s="3"/>
      <c r="R30" s="3"/>
      <c r="S30" s="3"/>
      <c r="T30" s="3"/>
      <c r="U30" s="3"/>
      <c r="V30" s="50"/>
      <c r="W30" s="55">
        <v>1495148</v>
      </c>
      <c r="X30" s="138">
        <f t="shared" si="1"/>
        <v>0</v>
      </c>
      <c r="Y30" s="49">
        <v>203326</v>
      </c>
      <c r="Z30" s="138">
        <f t="shared" si="2"/>
        <v>0</v>
      </c>
      <c r="AA30" s="3">
        <v>5840</v>
      </c>
      <c r="AB30" s="3"/>
      <c r="AC30" s="3">
        <v>5.38</v>
      </c>
      <c r="AD30" s="3">
        <v>6.62</v>
      </c>
      <c r="AE30" s="50">
        <v>289</v>
      </c>
    </row>
    <row r="31" spans="2:31" ht="14.45">
      <c r="B31" s="85">
        <v>46232</v>
      </c>
      <c r="C31" s="3"/>
      <c r="D31" s="50"/>
      <c r="E31" s="120"/>
      <c r="F31" s="3"/>
      <c r="G31" s="54"/>
      <c r="H31" s="134"/>
      <c r="I31" s="49"/>
      <c r="J31" s="35">
        <f t="shared" ref="J31" si="57">IF(I31=0,0,IF(ISNUMBER(I30),I31-I30,0))</f>
        <v>0</v>
      </c>
      <c r="K31" s="3"/>
      <c r="L31" s="35">
        <f t="shared" ref="L31" si="58">IF(K31=0,0,IF(ISNUMBER(K30),K31-K30,0))</f>
        <v>0</v>
      </c>
      <c r="M31" s="3"/>
      <c r="N31" s="77">
        <f t="shared" si="0"/>
        <v>0</v>
      </c>
      <c r="O31" s="55"/>
      <c r="P31" s="3"/>
      <c r="Q31" s="3"/>
      <c r="R31" s="3"/>
      <c r="S31" s="3"/>
      <c r="T31" s="3"/>
      <c r="U31" s="3"/>
      <c r="V31" s="50"/>
      <c r="W31" s="55"/>
      <c r="X31" s="138">
        <f t="shared" si="1"/>
        <v>0</v>
      </c>
      <c r="Y31" s="49"/>
      <c r="Z31" s="138">
        <f t="shared" si="2"/>
        <v>0</v>
      </c>
      <c r="AA31" s="3"/>
      <c r="AB31" s="3"/>
      <c r="AC31" s="3"/>
      <c r="AD31" s="3"/>
      <c r="AE31" s="50"/>
    </row>
    <row r="32" spans="2:31" ht="14.45">
      <c r="B32" s="85">
        <v>46233</v>
      </c>
      <c r="C32" s="3"/>
      <c r="D32" s="50"/>
      <c r="E32" s="120"/>
      <c r="F32" s="3"/>
      <c r="G32" s="54"/>
      <c r="H32" s="134"/>
      <c r="I32" s="49"/>
      <c r="J32" s="35">
        <f t="shared" ref="J32" si="59">IF(I32=0,0,IF(ISNUMBER(I31),I32-I31,0))</f>
        <v>0</v>
      </c>
      <c r="K32" s="3"/>
      <c r="L32" s="35">
        <f t="shared" ref="L32" si="60">IF(K32=0,0,IF(ISNUMBER(K31),K32-K31,0))</f>
        <v>0</v>
      </c>
      <c r="M32" s="3"/>
      <c r="N32" s="77">
        <f t="shared" si="0"/>
        <v>0</v>
      </c>
      <c r="O32" s="55"/>
      <c r="P32" s="3"/>
      <c r="Q32" s="3"/>
      <c r="R32" s="3"/>
      <c r="S32" s="3"/>
      <c r="T32" s="3"/>
      <c r="U32" s="3"/>
      <c r="V32" s="50"/>
      <c r="W32" s="55"/>
      <c r="X32" s="138">
        <f t="shared" si="1"/>
        <v>0</v>
      </c>
      <c r="Y32" s="49"/>
      <c r="Z32" s="138">
        <f t="shared" si="2"/>
        <v>0</v>
      </c>
      <c r="AA32" s="3"/>
      <c r="AB32" s="3"/>
      <c r="AC32" s="3"/>
      <c r="AD32" s="3"/>
      <c r="AE32" s="50"/>
    </row>
    <row r="33" spans="2:43" ht="14.45">
      <c r="B33" s="85">
        <v>46234</v>
      </c>
      <c r="C33" s="91"/>
      <c r="D33" s="97"/>
      <c r="E33" s="121"/>
      <c r="F33" s="91"/>
      <c r="G33" s="92"/>
      <c r="H33" s="135"/>
      <c r="I33" s="93"/>
      <c r="J33" s="94">
        <f t="shared" ref="J33" si="61">IF(I33=0,0,IF(ISNUMBER(I32),I33-I32,0))</f>
        <v>0</v>
      </c>
      <c r="K33" s="91"/>
      <c r="L33" s="94">
        <f t="shared" ref="L33" si="62">IF(K33=0,0,IF(ISNUMBER(K32),K33-K32,0))</f>
        <v>0</v>
      </c>
      <c r="M33" s="91"/>
      <c r="N33" s="95">
        <f t="shared" si="0"/>
        <v>0</v>
      </c>
      <c r="O33" s="96"/>
      <c r="P33" s="91"/>
      <c r="Q33" s="91"/>
      <c r="R33" s="91"/>
      <c r="S33" s="91"/>
      <c r="T33" s="91"/>
      <c r="U33" s="91"/>
      <c r="V33" s="97"/>
      <c r="W33" s="96"/>
      <c r="X33" s="138">
        <f t="shared" si="1"/>
        <v>0</v>
      </c>
      <c r="Y33" s="93"/>
      <c r="Z33" s="138">
        <f t="shared" si="2"/>
        <v>0</v>
      </c>
      <c r="AA33" s="91"/>
      <c r="AB33" s="91"/>
      <c r="AC33" s="91"/>
      <c r="AD33" s="91"/>
      <c r="AE33" s="97"/>
    </row>
    <row r="34" spans="2:43" ht="14.45">
      <c r="B34" s="124">
        <v>46235</v>
      </c>
      <c r="C34" s="98">
        <v>15.91</v>
      </c>
      <c r="D34" s="125"/>
      <c r="E34" s="129">
        <v>0</v>
      </c>
      <c r="F34" s="98">
        <v>0</v>
      </c>
      <c r="G34" s="98">
        <v>0</v>
      </c>
      <c r="H34" s="136">
        <v>0</v>
      </c>
      <c r="I34" s="132"/>
      <c r="J34" s="99">
        <f t="shared" ref="J34:J40" si="63">IF(I34=0,0,IF(ISNUMBER(I33),I34-I33,0))</f>
        <v>0</v>
      </c>
      <c r="K34" s="98"/>
      <c r="L34" s="99">
        <f t="shared" ref="L34:L40" si="64">IF(K34=0,0,IF(ISNUMBER(K33),K34-K33,0))</f>
        <v>0</v>
      </c>
      <c r="M34" s="136"/>
      <c r="N34" s="140">
        <f t="shared" ref="N34:N40" si="65">IF(M34=0,0,IF(ISNUMBER(M33),M34-M33,0))</f>
        <v>0</v>
      </c>
      <c r="O34" s="129"/>
      <c r="P34" s="98"/>
      <c r="Q34" s="98"/>
      <c r="R34" s="98"/>
      <c r="S34" s="98"/>
      <c r="T34" s="98"/>
      <c r="U34" s="98"/>
      <c r="V34" s="125"/>
      <c r="W34" s="129">
        <v>1496896</v>
      </c>
      <c r="X34" s="138">
        <f t="shared" si="1"/>
        <v>675</v>
      </c>
      <c r="Y34" s="132">
        <v>203786</v>
      </c>
      <c r="Z34" s="138">
        <f t="shared" si="2"/>
        <v>36</v>
      </c>
      <c r="AA34" s="98"/>
      <c r="AB34" s="98"/>
      <c r="AC34" s="98"/>
      <c r="AD34" s="98"/>
      <c r="AE34" s="125"/>
    </row>
    <row r="35" spans="2:43" ht="14.45">
      <c r="B35" s="124">
        <v>46236</v>
      </c>
      <c r="C35" s="98">
        <v>0</v>
      </c>
      <c r="D35" s="125"/>
      <c r="E35" s="129">
        <v>0</v>
      </c>
      <c r="F35" s="98">
        <v>0</v>
      </c>
      <c r="G35" s="98">
        <v>0</v>
      </c>
      <c r="H35" s="136">
        <v>0</v>
      </c>
      <c r="I35" s="132"/>
      <c r="J35" s="99">
        <f t="shared" si="63"/>
        <v>0</v>
      </c>
      <c r="K35" s="98"/>
      <c r="L35" s="99">
        <f t="shared" si="64"/>
        <v>0</v>
      </c>
      <c r="M35" s="136"/>
      <c r="N35" s="140">
        <f t="shared" si="65"/>
        <v>0</v>
      </c>
      <c r="O35" s="129"/>
      <c r="P35" s="98"/>
      <c r="Q35" s="98"/>
      <c r="R35" s="98"/>
      <c r="S35" s="98"/>
      <c r="T35" s="98"/>
      <c r="U35" s="98"/>
      <c r="V35" s="125"/>
      <c r="W35" s="129">
        <v>1497571</v>
      </c>
      <c r="X35" s="138">
        <f t="shared" si="1"/>
        <v>0</v>
      </c>
      <c r="Y35" s="132">
        <v>203822</v>
      </c>
      <c r="Z35" s="138">
        <f t="shared" si="2"/>
        <v>0</v>
      </c>
      <c r="AA35" s="98"/>
      <c r="AB35" s="98"/>
      <c r="AC35" s="98"/>
      <c r="AD35" s="98"/>
      <c r="AE35" s="125"/>
    </row>
    <row r="36" spans="2:43" ht="14.45">
      <c r="B36" s="126">
        <v>46237</v>
      </c>
      <c r="C36" s="98">
        <v>105.78</v>
      </c>
      <c r="D36" s="125"/>
      <c r="E36" s="129">
        <v>3.5</v>
      </c>
      <c r="F36" s="98">
        <v>0</v>
      </c>
      <c r="G36" s="98">
        <v>0</v>
      </c>
      <c r="H36" s="136">
        <v>0</v>
      </c>
      <c r="I36" s="132"/>
      <c r="J36" s="99">
        <f t="shared" si="63"/>
        <v>0</v>
      </c>
      <c r="K36" s="98"/>
      <c r="L36" s="99">
        <f t="shared" si="64"/>
        <v>0</v>
      </c>
      <c r="M36" s="136"/>
      <c r="N36" s="140">
        <f t="shared" si="65"/>
        <v>0</v>
      </c>
      <c r="O36" s="129"/>
      <c r="P36" s="98"/>
      <c r="Q36" s="98"/>
      <c r="R36" s="98"/>
      <c r="S36" s="98"/>
      <c r="T36" s="98"/>
      <c r="U36" s="98"/>
      <c r="V36" s="125"/>
      <c r="W36" s="129">
        <v>1497571</v>
      </c>
      <c r="X36" s="138">
        <f t="shared" si="1"/>
        <v>415</v>
      </c>
      <c r="Y36" s="132">
        <v>203822</v>
      </c>
      <c r="Z36" s="138">
        <f t="shared" si="2"/>
        <v>60</v>
      </c>
      <c r="AA36" s="98">
        <v>3280</v>
      </c>
      <c r="AB36" s="98"/>
      <c r="AC36" s="98">
        <v>5.75</v>
      </c>
      <c r="AD36" s="98">
        <v>5.0999999999999996</v>
      </c>
      <c r="AE36" s="125">
        <v>403</v>
      </c>
    </row>
    <row r="37" spans="2:43" ht="14.45">
      <c r="B37" s="126">
        <v>46238</v>
      </c>
      <c r="C37" s="98">
        <v>133.41</v>
      </c>
      <c r="D37" s="125"/>
      <c r="E37" s="129">
        <v>3.5</v>
      </c>
      <c r="F37" s="98">
        <v>3.5</v>
      </c>
      <c r="G37" s="98">
        <v>0</v>
      </c>
      <c r="H37" s="136">
        <v>0</v>
      </c>
      <c r="I37" s="132"/>
      <c r="J37" s="99">
        <f t="shared" si="63"/>
        <v>0</v>
      </c>
      <c r="K37" s="98"/>
      <c r="L37" s="99">
        <f t="shared" si="64"/>
        <v>0</v>
      </c>
      <c r="M37" s="136"/>
      <c r="N37" s="140">
        <f t="shared" si="65"/>
        <v>0</v>
      </c>
      <c r="O37" s="129"/>
      <c r="P37" s="98"/>
      <c r="Q37" s="98"/>
      <c r="R37" s="98"/>
      <c r="S37" s="98"/>
      <c r="T37" s="98"/>
      <c r="U37" s="98"/>
      <c r="V37" s="125"/>
      <c r="W37" s="129">
        <v>1497986</v>
      </c>
      <c r="X37" s="138">
        <f t="shared" si="1"/>
        <v>395</v>
      </c>
      <c r="Y37" s="132">
        <v>203882</v>
      </c>
      <c r="Z37" s="138">
        <f t="shared" si="2"/>
        <v>160</v>
      </c>
      <c r="AA37" s="98">
        <v>4030</v>
      </c>
      <c r="AB37" s="98"/>
      <c r="AC37" s="98">
        <v>5.67</v>
      </c>
      <c r="AD37" s="98">
        <v>4.2699999999999996</v>
      </c>
      <c r="AE37" s="125">
        <v>320</v>
      </c>
    </row>
    <row r="38" spans="2:43" ht="14.45">
      <c r="B38" s="126">
        <v>46239</v>
      </c>
      <c r="C38" s="98">
        <v>116.09</v>
      </c>
      <c r="D38" s="125"/>
      <c r="E38" s="129">
        <v>3.5</v>
      </c>
      <c r="F38" s="98">
        <v>0</v>
      </c>
      <c r="G38" s="98">
        <v>0</v>
      </c>
      <c r="H38" s="136">
        <v>0</v>
      </c>
      <c r="I38" s="132"/>
      <c r="J38" s="99">
        <f t="shared" si="63"/>
        <v>0</v>
      </c>
      <c r="K38" s="98"/>
      <c r="L38" s="99">
        <f t="shared" si="64"/>
        <v>0</v>
      </c>
      <c r="M38" s="136"/>
      <c r="N38" s="140">
        <f t="shared" si="65"/>
        <v>0</v>
      </c>
      <c r="O38" s="129"/>
      <c r="P38" s="98"/>
      <c r="Q38" s="98"/>
      <c r="R38" s="98"/>
      <c r="S38" s="98"/>
      <c r="T38" s="98"/>
      <c r="U38" s="98"/>
      <c r="V38" s="125"/>
      <c r="W38" s="129">
        <v>1498381</v>
      </c>
      <c r="X38" s="138">
        <f t="shared" si="1"/>
        <v>327</v>
      </c>
      <c r="Y38" s="132">
        <v>204042</v>
      </c>
      <c r="Z38" s="138">
        <f t="shared" si="2"/>
        <v>105</v>
      </c>
      <c r="AA38" s="98">
        <v>7260</v>
      </c>
      <c r="AB38" s="98"/>
      <c r="AC38" s="98">
        <v>5.45</v>
      </c>
      <c r="AD38" s="98">
        <v>7.91</v>
      </c>
      <c r="AE38" s="125" t="s">
        <v>36</v>
      </c>
    </row>
    <row r="39" spans="2:43" ht="14.45">
      <c r="B39" s="126">
        <v>46240</v>
      </c>
      <c r="C39" s="98">
        <v>79.73</v>
      </c>
      <c r="D39" s="125"/>
      <c r="E39" s="129">
        <v>0</v>
      </c>
      <c r="F39" s="98">
        <v>0</v>
      </c>
      <c r="G39" s="98">
        <v>75</v>
      </c>
      <c r="H39" s="136">
        <v>0</v>
      </c>
      <c r="I39" s="132"/>
      <c r="J39" s="99">
        <f t="shared" si="63"/>
        <v>0</v>
      </c>
      <c r="K39" s="98"/>
      <c r="L39" s="99">
        <f t="shared" si="64"/>
        <v>0</v>
      </c>
      <c r="M39" s="136"/>
      <c r="N39" s="140">
        <f t="shared" si="65"/>
        <v>0</v>
      </c>
      <c r="O39" s="129"/>
      <c r="P39" s="98"/>
      <c r="Q39" s="98"/>
      <c r="R39" s="98"/>
      <c r="S39" s="98"/>
      <c r="T39" s="98"/>
      <c r="U39" s="98"/>
      <c r="V39" s="125"/>
      <c r="W39" s="129">
        <v>1498708</v>
      </c>
      <c r="X39" s="138">
        <f t="shared" si="1"/>
        <v>359</v>
      </c>
      <c r="Y39" s="132">
        <v>204147</v>
      </c>
      <c r="Z39" s="138">
        <f t="shared" si="2"/>
        <v>105</v>
      </c>
      <c r="AA39" s="98">
        <v>3830</v>
      </c>
      <c r="AB39" s="98"/>
      <c r="AC39" s="98">
        <v>5.74</v>
      </c>
      <c r="AD39" s="98">
        <v>7.36</v>
      </c>
      <c r="AE39" s="125">
        <v>205</v>
      </c>
    </row>
    <row r="40" spans="2:43" ht="14.45">
      <c r="B40" s="130">
        <v>46241</v>
      </c>
      <c r="C40" s="98">
        <v>129.02000000000001</v>
      </c>
      <c r="D40" s="125"/>
      <c r="E40" s="129">
        <v>3.5</v>
      </c>
      <c r="F40" s="98">
        <v>0</v>
      </c>
      <c r="G40" s="98">
        <v>50</v>
      </c>
      <c r="H40" s="136">
        <v>0</v>
      </c>
      <c r="I40" s="132"/>
      <c r="J40" s="99">
        <f t="shared" si="63"/>
        <v>0</v>
      </c>
      <c r="K40" s="98"/>
      <c r="L40" s="99">
        <f t="shared" si="64"/>
        <v>0</v>
      </c>
      <c r="M40" s="136"/>
      <c r="N40" s="140">
        <f t="shared" si="65"/>
        <v>0</v>
      </c>
      <c r="O40" s="129"/>
      <c r="P40" s="98"/>
      <c r="Q40" s="98"/>
      <c r="R40" s="98"/>
      <c r="S40" s="98"/>
      <c r="T40" s="98"/>
      <c r="U40" s="98"/>
      <c r="V40" s="125"/>
      <c r="W40" s="129">
        <v>1499067</v>
      </c>
      <c r="X40" s="138">
        <f t="shared" si="1"/>
        <v>0</v>
      </c>
      <c r="Y40" s="132">
        <v>204252</v>
      </c>
      <c r="Z40" s="138">
        <f t="shared" si="2"/>
        <v>0</v>
      </c>
      <c r="AA40" s="98">
        <v>3370</v>
      </c>
      <c r="AB40" s="98"/>
      <c r="AC40" s="98">
        <v>6.05</v>
      </c>
      <c r="AD40" s="98">
        <v>5.82</v>
      </c>
      <c r="AE40" s="125">
        <v>255</v>
      </c>
      <c r="AQ40" s="2">
        <v>255</v>
      </c>
    </row>
    <row r="41" spans="2:43" ht="15" customHeight="1">
      <c r="B41" s="158">
        <v>46242</v>
      </c>
      <c r="C41" s="98"/>
      <c r="D41" s="125"/>
      <c r="E41" s="129"/>
      <c r="F41" s="98"/>
      <c r="G41" s="98"/>
      <c r="H41" s="136"/>
      <c r="I41" s="132"/>
      <c r="J41" s="99"/>
      <c r="K41" s="98"/>
      <c r="L41" s="99"/>
      <c r="M41" s="136"/>
      <c r="N41" s="140"/>
      <c r="O41" s="129"/>
      <c r="P41" s="98"/>
      <c r="Q41" s="98"/>
      <c r="R41" s="98"/>
      <c r="S41" s="98"/>
      <c r="T41" s="98"/>
      <c r="U41" s="98"/>
      <c r="V41" s="125"/>
      <c r="W41" s="129"/>
      <c r="X41" s="138">
        <f t="shared" si="1"/>
        <v>0</v>
      </c>
      <c r="Y41" s="132"/>
      <c r="Z41" s="138">
        <f t="shared" si="2"/>
        <v>0</v>
      </c>
      <c r="AA41" s="98"/>
      <c r="AB41" s="98"/>
      <c r="AC41" s="98"/>
      <c r="AD41" s="98"/>
      <c r="AE41" s="125"/>
    </row>
    <row r="42" spans="2:43" ht="15" customHeight="1">
      <c r="B42" s="158">
        <v>46243</v>
      </c>
      <c r="C42" s="98"/>
      <c r="D42" s="125"/>
      <c r="E42" s="129"/>
      <c r="F42" s="98"/>
      <c r="G42" s="98"/>
      <c r="H42" s="136"/>
      <c r="I42" s="132"/>
      <c r="J42" s="99"/>
      <c r="K42" s="98"/>
      <c r="L42" s="99"/>
      <c r="M42" s="136"/>
      <c r="N42" s="140"/>
      <c r="O42" s="129"/>
      <c r="P42" s="98"/>
      <c r="Q42" s="98"/>
      <c r="R42" s="98"/>
      <c r="S42" s="98"/>
      <c r="T42" s="98"/>
      <c r="U42" s="98"/>
      <c r="V42" s="125"/>
      <c r="W42" s="129"/>
      <c r="X42" s="138">
        <f t="shared" si="1"/>
        <v>0</v>
      </c>
      <c r="Y42" s="132"/>
      <c r="Z42" s="138">
        <f t="shared" si="2"/>
        <v>0</v>
      </c>
      <c r="AA42" s="98"/>
      <c r="AB42" s="98"/>
      <c r="AC42" s="98"/>
      <c r="AD42" s="98"/>
      <c r="AE42" s="125"/>
    </row>
    <row r="43" spans="2:43" ht="15" customHeight="1">
      <c r="B43" s="130">
        <v>46244</v>
      </c>
      <c r="C43" s="98"/>
      <c r="D43" s="125"/>
      <c r="E43" s="129"/>
      <c r="F43" s="98"/>
      <c r="G43" s="98"/>
      <c r="H43" s="136"/>
      <c r="I43" s="132"/>
      <c r="J43" s="99"/>
      <c r="K43" s="98"/>
      <c r="L43" s="99"/>
      <c r="M43" s="136"/>
      <c r="N43" s="140"/>
      <c r="O43" s="129"/>
      <c r="P43" s="98"/>
      <c r="Q43" s="98"/>
      <c r="R43" s="98"/>
      <c r="S43" s="98"/>
      <c r="T43" s="98"/>
      <c r="U43" s="98"/>
      <c r="V43" s="125"/>
      <c r="W43" s="129"/>
      <c r="X43" s="138">
        <f t="shared" si="1"/>
        <v>0</v>
      </c>
      <c r="Y43" s="132"/>
      <c r="Z43" s="138">
        <f t="shared" si="2"/>
        <v>0</v>
      </c>
      <c r="AA43" s="98"/>
      <c r="AB43" s="98"/>
      <c r="AC43" s="98"/>
      <c r="AD43" s="98"/>
      <c r="AE43" s="125"/>
    </row>
    <row r="44" spans="2:43" ht="15" customHeight="1">
      <c r="B44" s="130">
        <v>46245</v>
      </c>
      <c r="C44" s="98"/>
      <c r="D44" s="125"/>
      <c r="E44" s="129"/>
      <c r="F44" s="98"/>
      <c r="G44" s="98"/>
      <c r="H44" s="136"/>
      <c r="I44" s="132"/>
      <c r="J44" s="99"/>
      <c r="K44" s="98"/>
      <c r="L44" s="99"/>
      <c r="M44" s="136"/>
      <c r="N44" s="140"/>
      <c r="O44" s="129"/>
      <c r="P44" s="98"/>
      <c r="Q44" s="98"/>
      <c r="R44" s="98"/>
      <c r="S44" s="98"/>
      <c r="T44" s="98"/>
      <c r="U44" s="98"/>
      <c r="V44" s="125"/>
      <c r="W44" s="129"/>
      <c r="X44" s="138">
        <f t="shared" si="1"/>
        <v>0</v>
      </c>
      <c r="Y44" s="132"/>
      <c r="Z44" s="138">
        <f t="shared" si="2"/>
        <v>0</v>
      </c>
      <c r="AA44" s="98"/>
      <c r="AB44" s="98"/>
      <c r="AC44" s="98"/>
      <c r="AD44" s="98"/>
      <c r="AE44" s="125"/>
    </row>
    <row r="45" spans="2:43" ht="15" customHeight="1">
      <c r="B45" s="130">
        <v>46246</v>
      </c>
      <c r="C45" s="98"/>
      <c r="D45" s="125"/>
      <c r="E45" s="129"/>
      <c r="F45" s="98"/>
      <c r="G45" s="98"/>
      <c r="H45" s="136"/>
      <c r="I45" s="132"/>
      <c r="J45" s="99"/>
      <c r="K45" s="98"/>
      <c r="L45" s="99"/>
      <c r="M45" s="136"/>
      <c r="N45" s="140"/>
      <c r="O45" s="129"/>
      <c r="P45" s="98"/>
      <c r="Q45" s="98"/>
      <c r="R45" s="98"/>
      <c r="S45" s="98"/>
      <c r="T45" s="98"/>
      <c r="U45" s="98"/>
      <c r="V45" s="125"/>
      <c r="W45" s="129"/>
      <c r="X45" s="138">
        <f t="shared" si="1"/>
        <v>0</v>
      </c>
      <c r="Y45" s="132"/>
      <c r="Z45" s="138">
        <f t="shared" si="2"/>
        <v>0</v>
      </c>
      <c r="AA45" s="98"/>
      <c r="AB45" s="98"/>
      <c r="AC45" s="98"/>
      <c r="AD45" s="98"/>
      <c r="AE45" s="125"/>
    </row>
    <row r="46" spans="2:43" ht="15" customHeight="1">
      <c r="B46" s="130">
        <v>46247</v>
      </c>
      <c r="C46" s="98"/>
      <c r="D46" s="125"/>
      <c r="E46" s="129"/>
      <c r="F46" s="98"/>
      <c r="G46" s="98"/>
      <c r="H46" s="136"/>
      <c r="I46" s="132"/>
      <c r="J46" s="99"/>
      <c r="K46" s="98"/>
      <c r="L46" s="99"/>
      <c r="M46" s="136"/>
      <c r="N46" s="140"/>
      <c r="O46" s="129"/>
      <c r="P46" s="98"/>
      <c r="Q46" s="98"/>
      <c r="R46" s="98"/>
      <c r="S46" s="98"/>
      <c r="T46" s="98"/>
      <c r="U46" s="98"/>
      <c r="V46" s="125"/>
      <c r="W46" s="129"/>
      <c r="X46" s="138">
        <f t="shared" si="1"/>
        <v>0</v>
      </c>
      <c r="Y46" s="132"/>
      <c r="Z46" s="138">
        <f t="shared" si="2"/>
        <v>0</v>
      </c>
      <c r="AA46" s="98"/>
      <c r="AB46" s="98"/>
      <c r="AC46" s="98"/>
      <c r="AD46" s="98"/>
      <c r="AE46" s="125"/>
    </row>
    <row r="47" spans="2:43" ht="15" customHeight="1">
      <c r="B47" s="130">
        <v>46248</v>
      </c>
      <c r="C47" s="98"/>
      <c r="D47" s="125"/>
      <c r="E47" s="129"/>
      <c r="F47" s="98"/>
      <c r="G47" s="98"/>
      <c r="H47" s="136"/>
      <c r="I47" s="132"/>
      <c r="J47" s="99"/>
      <c r="K47" s="98"/>
      <c r="L47" s="99"/>
      <c r="M47" s="136"/>
      <c r="N47" s="140"/>
      <c r="O47" s="129"/>
      <c r="P47" s="98"/>
      <c r="Q47" s="98"/>
      <c r="R47" s="98"/>
      <c r="S47" s="98"/>
      <c r="T47" s="98"/>
      <c r="U47" s="98"/>
      <c r="V47" s="125"/>
      <c r="W47" s="129"/>
      <c r="X47" s="138">
        <f t="shared" si="1"/>
        <v>0</v>
      </c>
      <c r="Y47" s="132"/>
      <c r="Z47" s="138">
        <f t="shared" si="2"/>
        <v>0</v>
      </c>
      <c r="AA47" s="98"/>
      <c r="AB47" s="98"/>
      <c r="AC47" s="98"/>
      <c r="AD47" s="98"/>
      <c r="AE47" s="125"/>
    </row>
    <row r="48" spans="2:43" ht="15" customHeight="1">
      <c r="B48" s="158">
        <v>46249</v>
      </c>
      <c r="C48" s="98"/>
      <c r="D48" s="125"/>
      <c r="E48" s="129">
        <v>0</v>
      </c>
      <c r="F48" s="98">
        <v>0</v>
      </c>
      <c r="G48" s="98">
        <v>0</v>
      </c>
      <c r="H48" s="136">
        <v>0</v>
      </c>
      <c r="I48" s="132"/>
      <c r="J48" s="99"/>
      <c r="K48" s="98"/>
      <c r="L48" s="99"/>
      <c r="M48" s="136"/>
      <c r="N48" s="140"/>
      <c r="O48" s="129"/>
      <c r="P48" s="98"/>
      <c r="Q48" s="98"/>
      <c r="R48" s="98"/>
      <c r="S48" s="98"/>
      <c r="T48" s="98"/>
      <c r="U48" s="98"/>
      <c r="V48" s="125"/>
      <c r="W48" s="129">
        <v>1501890</v>
      </c>
      <c r="X48" s="138">
        <f t="shared" si="1"/>
        <v>345</v>
      </c>
      <c r="Y48" s="132">
        <v>205157</v>
      </c>
      <c r="Z48" s="138">
        <f t="shared" si="2"/>
        <v>0</v>
      </c>
      <c r="AA48" s="98"/>
      <c r="AB48" s="98"/>
      <c r="AC48" s="98"/>
      <c r="AD48" s="98"/>
      <c r="AE48" s="125"/>
    </row>
    <row r="49" spans="2:31" ht="15" customHeight="1">
      <c r="B49" s="158">
        <v>46250</v>
      </c>
      <c r="C49" s="98"/>
      <c r="D49" s="125"/>
      <c r="E49" s="129">
        <v>0</v>
      </c>
      <c r="F49" s="98">
        <v>0</v>
      </c>
      <c r="G49" s="98">
        <v>0</v>
      </c>
      <c r="H49" s="136">
        <v>0</v>
      </c>
      <c r="I49" s="132"/>
      <c r="J49" s="99"/>
      <c r="K49" s="98"/>
      <c r="L49" s="99"/>
      <c r="M49" s="136"/>
      <c r="N49" s="140"/>
      <c r="O49" s="129"/>
      <c r="P49" s="98"/>
      <c r="Q49" s="98"/>
      <c r="R49" s="98"/>
      <c r="S49" s="98"/>
      <c r="T49" s="98"/>
      <c r="U49" s="98"/>
      <c r="V49" s="125"/>
      <c r="W49" s="129">
        <v>1502235</v>
      </c>
      <c r="X49" s="138">
        <f t="shared" si="1"/>
        <v>345</v>
      </c>
      <c r="Y49" s="132">
        <v>205157</v>
      </c>
      <c r="Z49" s="138">
        <f t="shared" si="2"/>
        <v>71</v>
      </c>
      <c r="AA49" s="98"/>
      <c r="AB49" s="98"/>
      <c r="AC49" s="98"/>
      <c r="AD49" s="98"/>
      <c r="AE49" s="125"/>
    </row>
    <row r="50" spans="2:31" ht="15" customHeight="1">
      <c r="B50" s="130">
        <v>46251</v>
      </c>
      <c r="C50" s="98"/>
      <c r="D50" s="125"/>
      <c r="E50" s="129">
        <v>0</v>
      </c>
      <c r="F50" s="98">
        <v>0</v>
      </c>
      <c r="G50" s="98">
        <v>0</v>
      </c>
      <c r="H50" s="136">
        <v>225</v>
      </c>
      <c r="I50" s="132"/>
      <c r="J50" s="99"/>
      <c r="K50" s="98"/>
      <c r="L50" s="99"/>
      <c r="M50" s="136"/>
      <c r="N50" s="140"/>
      <c r="O50" s="129"/>
      <c r="P50" s="98"/>
      <c r="Q50" s="98"/>
      <c r="R50" s="98"/>
      <c r="S50" s="98"/>
      <c r="T50" s="98"/>
      <c r="U50" s="98"/>
      <c r="V50" s="125"/>
      <c r="W50" s="129">
        <v>1502580</v>
      </c>
      <c r="X50" s="138">
        <f t="shared" si="1"/>
        <v>332</v>
      </c>
      <c r="Y50" s="132">
        <v>205228</v>
      </c>
      <c r="Z50" s="138">
        <f t="shared" si="2"/>
        <v>47</v>
      </c>
      <c r="AA50" s="141">
        <v>3190</v>
      </c>
      <c r="AB50" s="98"/>
      <c r="AC50" s="141">
        <v>5.41</v>
      </c>
      <c r="AD50" s="141">
        <v>5.36</v>
      </c>
      <c r="AE50" s="164">
        <v>357</v>
      </c>
    </row>
    <row r="51" spans="2:31" ht="15" customHeight="1">
      <c r="B51" s="130">
        <v>46252</v>
      </c>
      <c r="C51" s="98"/>
      <c r="D51" s="125"/>
      <c r="E51" s="129">
        <v>7</v>
      </c>
      <c r="F51" s="98">
        <v>3.5</v>
      </c>
      <c r="G51" s="98">
        <v>125</v>
      </c>
      <c r="H51" s="136">
        <v>260</v>
      </c>
      <c r="I51" s="132"/>
      <c r="J51" s="99"/>
      <c r="K51" s="98"/>
      <c r="L51" s="99"/>
      <c r="M51" s="136"/>
      <c r="N51" s="140"/>
      <c r="O51" s="129"/>
      <c r="P51" s="98"/>
      <c r="Q51" s="98"/>
      <c r="R51" s="98"/>
      <c r="S51" s="98"/>
      <c r="T51" s="98"/>
      <c r="U51" s="98"/>
      <c r="V51" s="125"/>
      <c r="W51" s="129">
        <v>1502912</v>
      </c>
      <c r="X51" s="138">
        <f t="shared" si="1"/>
        <v>296</v>
      </c>
      <c r="Y51" s="132">
        <v>205275</v>
      </c>
      <c r="Z51" s="138">
        <f t="shared" si="2"/>
        <v>156</v>
      </c>
      <c r="AA51" s="141">
        <v>3130</v>
      </c>
      <c r="AB51" s="98"/>
      <c r="AC51" s="141">
        <v>5.6</v>
      </c>
      <c r="AD51" s="141">
        <v>5.85</v>
      </c>
      <c r="AE51" s="164">
        <v>186</v>
      </c>
    </row>
    <row r="52" spans="2:31" ht="15" customHeight="1">
      <c r="B52" s="130">
        <v>46253</v>
      </c>
      <c r="C52" s="98"/>
      <c r="D52" s="125"/>
      <c r="E52" s="129">
        <v>3.5</v>
      </c>
      <c r="F52" s="98">
        <v>3.5</v>
      </c>
      <c r="G52" s="98">
        <v>0</v>
      </c>
      <c r="H52" s="136">
        <v>0</v>
      </c>
      <c r="I52" s="132"/>
      <c r="J52" s="99"/>
      <c r="K52" s="98"/>
      <c r="L52" s="99"/>
      <c r="M52" s="136"/>
      <c r="N52" s="140"/>
      <c r="O52" s="129"/>
      <c r="P52" s="98"/>
      <c r="Q52" s="98"/>
      <c r="R52" s="98"/>
      <c r="S52" s="98"/>
      <c r="T52" s="98"/>
      <c r="U52" s="98"/>
      <c r="V52" s="125"/>
      <c r="W52" s="129">
        <v>1503208</v>
      </c>
      <c r="X52" s="138">
        <f t="shared" si="1"/>
        <v>569</v>
      </c>
      <c r="Y52" s="132">
        <v>205431</v>
      </c>
      <c r="Z52" s="138">
        <f t="shared" ref="Z52:Z53" si="66">IF(OR(Y52="",Y53=""),0,IF(AND(ISNUMBER(Y52),ISNUMBER(Y53)),Y53-Y52,0))</f>
        <v>296</v>
      </c>
      <c r="AA52" s="98">
        <v>3890</v>
      </c>
      <c r="AB52" s="98"/>
      <c r="AC52" s="98">
        <v>6.3</v>
      </c>
      <c r="AD52" s="98">
        <v>10.49</v>
      </c>
      <c r="AE52" s="125">
        <v>509</v>
      </c>
    </row>
    <row r="53" spans="2:31" ht="15" customHeight="1">
      <c r="B53" s="130">
        <v>46254</v>
      </c>
      <c r="C53" s="98"/>
      <c r="D53" s="125"/>
      <c r="E53" s="129">
        <v>3.5</v>
      </c>
      <c r="F53" s="98">
        <v>0</v>
      </c>
      <c r="G53" s="98">
        <v>250</v>
      </c>
      <c r="H53" s="136">
        <v>0</v>
      </c>
      <c r="I53" s="132"/>
      <c r="J53" s="99"/>
      <c r="K53" s="98"/>
      <c r="L53" s="99"/>
      <c r="M53" s="136"/>
      <c r="N53" s="140"/>
      <c r="O53" s="129"/>
      <c r="P53" s="98"/>
      <c r="Q53" s="98"/>
      <c r="R53" s="98"/>
      <c r="S53" s="98"/>
      <c r="T53" s="98"/>
      <c r="U53" s="98"/>
      <c r="V53" s="125"/>
      <c r="W53" s="129">
        <v>1503777</v>
      </c>
      <c r="X53" s="138">
        <f>IF(OR(W53="",W54=""),0,IF(AND(ISNUMBER(W53),ISNUMBER(W54)),W54-W53,0))</f>
        <v>288</v>
      </c>
      <c r="Y53" s="132">
        <v>205727</v>
      </c>
      <c r="Z53" s="138">
        <f t="shared" si="66"/>
        <v>127</v>
      </c>
      <c r="AA53" s="98">
        <v>1800</v>
      </c>
      <c r="AB53" s="98"/>
      <c r="AC53" s="98">
        <v>6.9</v>
      </c>
      <c r="AD53" s="98">
        <v>5.81</v>
      </c>
      <c r="AE53" s="125">
        <v>209</v>
      </c>
    </row>
    <row r="54" spans="2:31" ht="15" customHeight="1">
      <c r="B54" s="130">
        <v>46255</v>
      </c>
      <c r="C54" s="98"/>
      <c r="D54" s="125"/>
      <c r="E54" s="129">
        <v>3.5</v>
      </c>
      <c r="F54" s="98">
        <v>3.5</v>
      </c>
      <c r="G54" s="98">
        <v>0</v>
      </c>
      <c r="H54" s="136">
        <v>0</v>
      </c>
      <c r="I54" s="132"/>
      <c r="J54" s="99"/>
      <c r="K54" s="98"/>
      <c r="L54" s="99"/>
      <c r="M54" s="136"/>
      <c r="N54" s="140"/>
      <c r="O54" s="129"/>
      <c r="P54" s="98"/>
      <c r="Q54" s="98"/>
      <c r="R54" s="98"/>
      <c r="S54" s="98"/>
      <c r="T54" s="98"/>
      <c r="U54" s="98"/>
      <c r="V54" s="125"/>
      <c r="W54" s="129">
        <v>1504065</v>
      </c>
      <c r="X54" s="138">
        <f>IF(OR(W54="",W55=""),0,IF(AND(ISNUMBER(W54),ISNUMBER(W55)),W55-W54,0))</f>
        <v>0</v>
      </c>
      <c r="Y54" s="132">
        <v>205854</v>
      </c>
      <c r="Z54" s="138">
        <f>IF(OR(Y54="",Y55=""),0,IF(AND(ISNUMBER(Y54),ISNUMBER(Y55)),Y55-Y54,0))</f>
        <v>0</v>
      </c>
      <c r="AA54" s="98">
        <v>2580</v>
      </c>
      <c r="AB54" s="98"/>
      <c r="AC54" s="98">
        <v>7.16</v>
      </c>
      <c r="AD54" s="98">
        <v>7.32</v>
      </c>
      <c r="AE54" s="125">
        <v>346</v>
      </c>
    </row>
  </sheetData>
  <mergeCells count="6">
    <mergeCell ref="B1:D1"/>
    <mergeCell ref="I1:N1"/>
    <mergeCell ref="O1:V1"/>
    <mergeCell ref="Y1:AE1"/>
    <mergeCell ref="W1:X1"/>
    <mergeCell ref="E1:H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8C8FB-E1C7-43AF-B4CF-BAB622878866}">
  <sheetPr>
    <pageSetUpPr fitToPage="1"/>
  </sheetPr>
  <dimension ref="B1:AA33"/>
  <sheetViews>
    <sheetView workbookViewId="0">
      <selection activeCell="B3" sqref="B3"/>
    </sheetView>
  </sheetViews>
  <sheetFormatPr defaultColWidth="9.140625" defaultRowHeight="14.45"/>
  <cols>
    <col min="1" max="1" width="3.28515625" style="1" customWidth="1"/>
    <col min="2" max="2" width="9.85546875" style="1" customWidth="1"/>
    <col min="3" max="3" width="13.5703125" style="1" bestFit="1" customWidth="1"/>
    <col min="4" max="4" width="19.85546875" style="1" customWidth="1"/>
    <col min="5" max="5" width="12.140625" style="1" customWidth="1"/>
    <col min="6" max="6" width="13.28515625" style="1" customWidth="1"/>
    <col min="7" max="7" width="17.42578125" style="1" customWidth="1"/>
    <col min="8" max="8" width="15.5703125" style="1" customWidth="1"/>
    <col min="9" max="9" width="21.28515625" style="1" customWidth="1"/>
    <col min="10" max="11" width="17.5703125" style="1" customWidth="1"/>
    <col min="12" max="12" width="11.7109375" style="1" customWidth="1"/>
    <col min="13" max="13" width="12" style="1" customWidth="1"/>
    <col min="14" max="17" width="17.5703125" style="1" customWidth="1"/>
    <col min="18" max="18" width="14.7109375" style="1" customWidth="1"/>
    <col min="19" max="19" width="13.7109375" style="1" customWidth="1"/>
    <col min="20" max="20" width="20.140625" style="1" customWidth="1"/>
    <col min="21" max="21" width="18.28515625" style="1" customWidth="1"/>
    <col min="22" max="22" width="13" style="1" customWidth="1"/>
    <col min="23" max="24" width="9.140625" style="1"/>
    <col min="25" max="25" width="8" style="1" customWidth="1"/>
    <col min="26" max="26" width="18.42578125" style="1" bestFit="1" customWidth="1"/>
    <col min="27" max="27" width="15.5703125" style="1" bestFit="1" customWidth="1"/>
    <col min="28" max="16384" width="9.140625" style="1"/>
  </cols>
  <sheetData>
    <row r="1" spans="2:27" ht="15" thickBot="1">
      <c r="B1" s="180" t="s">
        <v>37</v>
      </c>
      <c r="C1" s="181"/>
      <c r="D1" s="182"/>
      <c r="E1" s="180" t="s">
        <v>38</v>
      </c>
      <c r="F1" s="181"/>
      <c r="G1" s="181"/>
      <c r="H1" s="182"/>
      <c r="I1" s="180" t="s">
        <v>39</v>
      </c>
      <c r="J1" s="181"/>
      <c r="K1" s="181"/>
      <c r="L1" s="180" t="s">
        <v>3</v>
      </c>
      <c r="M1" s="181"/>
      <c r="N1" s="181"/>
      <c r="O1" s="181"/>
      <c r="P1" s="181"/>
      <c r="Q1" s="181"/>
      <c r="R1" s="181"/>
      <c r="S1" s="182"/>
      <c r="T1" s="7" t="s">
        <v>40</v>
      </c>
      <c r="U1" s="180" t="s">
        <v>41</v>
      </c>
      <c r="V1" s="181"/>
      <c r="W1" s="181"/>
      <c r="X1" s="181"/>
      <c r="Y1" s="181"/>
      <c r="Z1" s="181"/>
      <c r="AA1" s="182"/>
    </row>
    <row r="2" spans="2:27" ht="38.25" customHeight="1">
      <c r="B2" s="11" t="s">
        <v>42</v>
      </c>
      <c r="C2" s="12" t="s">
        <v>7</v>
      </c>
      <c r="D2" s="13" t="s">
        <v>8</v>
      </c>
      <c r="E2" s="14" t="s">
        <v>12</v>
      </c>
      <c r="F2" s="6" t="s">
        <v>11</v>
      </c>
      <c r="G2" s="6" t="s">
        <v>10</v>
      </c>
      <c r="H2" s="15" t="s">
        <v>9</v>
      </c>
      <c r="I2" s="14" t="s">
        <v>13</v>
      </c>
      <c r="J2" s="6" t="s">
        <v>15</v>
      </c>
      <c r="K2" s="6" t="s">
        <v>17</v>
      </c>
      <c r="L2" s="14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22</v>
      </c>
      <c r="R2" s="6" t="s">
        <v>23</v>
      </c>
      <c r="S2" s="15" t="s">
        <v>24</v>
      </c>
      <c r="T2" s="21" t="s">
        <v>25</v>
      </c>
      <c r="U2" s="14" t="s">
        <v>43</v>
      </c>
      <c r="V2" s="6" t="s">
        <v>44</v>
      </c>
      <c r="W2" s="6" t="s">
        <v>29</v>
      </c>
      <c r="X2" s="6" t="s">
        <v>30</v>
      </c>
      <c r="Y2" s="6" t="s">
        <v>31</v>
      </c>
      <c r="Z2" s="6" t="s">
        <v>32</v>
      </c>
      <c r="AA2" s="15" t="s">
        <v>33</v>
      </c>
    </row>
    <row r="3" spans="2:27">
      <c r="B3" s="24">
        <v>46204</v>
      </c>
      <c r="C3" s="5"/>
      <c r="D3" s="17"/>
      <c r="E3" s="16"/>
      <c r="F3" s="5"/>
      <c r="G3" s="5"/>
      <c r="H3" s="17"/>
      <c r="I3" s="16"/>
      <c r="J3" s="5"/>
      <c r="K3" s="5"/>
      <c r="L3" s="16"/>
      <c r="M3" s="5"/>
      <c r="N3" s="5"/>
      <c r="O3" s="5"/>
      <c r="P3" s="5"/>
      <c r="Q3" s="5"/>
      <c r="R3" s="5"/>
      <c r="S3" s="17"/>
      <c r="T3" s="22"/>
      <c r="U3" s="16"/>
      <c r="V3" s="5"/>
      <c r="W3" s="5"/>
      <c r="X3" s="5"/>
      <c r="Y3" s="5"/>
      <c r="Z3" s="5"/>
      <c r="AA3" s="17"/>
    </row>
    <row r="4" spans="2:27">
      <c r="B4" s="24">
        <v>46205</v>
      </c>
      <c r="C4" s="5"/>
      <c r="D4" s="17"/>
      <c r="E4" s="16"/>
      <c r="F4" s="5"/>
      <c r="G4" s="5"/>
      <c r="H4" s="17"/>
      <c r="I4" s="16"/>
      <c r="J4" s="5"/>
      <c r="K4" s="5"/>
      <c r="L4" s="16"/>
      <c r="M4" s="5"/>
      <c r="N4" s="5"/>
      <c r="O4" s="5"/>
      <c r="P4" s="5"/>
      <c r="Q4" s="5"/>
      <c r="R4" s="5"/>
      <c r="S4" s="17"/>
      <c r="T4" s="22"/>
      <c r="U4" s="16"/>
      <c r="V4" s="5"/>
      <c r="W4" s="5"/>
      <c r="X4" s="5"/>
      <c r="Y4" s="5"/>
      <c r="Z4" s="5"/>
      <c r="AA4" s="17"/>
    </row>
    <row r="5" spans="2:27">
      <c r="B5" s="24">
        <v>46206</v>
      </c>
      <c r="C5" s="5"/>
      <c r="D5" s="17"/>
      <c r="E5" s="16"/>
      <c r="F5" s="5"/>
      <c r="G5" s="5"/>
      <c r="H5" s="17"/>
      <c r="I5" s="16"/>
      <c r="J5" s="5"/>
      <c r="K5" s="5"/>
      <c r="L5" s="16"/>
      <c r="M5" s="5"/>
      <c r="N5" s="5"/>
      <c r="O5" s="5"/>
      <c r="P5" s="5"/>
      <c r="Q5" s="5"/>
      <c r="R5" s="5"/>
      <c r="S5" s="17"/>
      <c r="T5" s="22"/>
      <c r="U5" s="16"/>
      <c r="V5" s="5"/>
      <c r="W5" s="5"/>
      <c r="X5" s="5"/>
      <c r="Y5" s="5"/>
      <c r="Z5" s="5"/>
      <c r="AA5" s="17"/>
    </row>
    <row r="6" spans="2:27">
      <c r="B6" s="24">
        <v>46207</v>
      </c>
      <c r="C6" s="5"/>
      <c r="D6" s="17"/>
      <c r="E6" s="16"/>
      <c r="F6" s="5"/>
      <c r="G6" s="5"/>
      <c r="H6" s="17"/>
      <c r="I6" s="16"/>
      <c r="J6" s="5"/>
      <c r="K6" s="5"/>
      <c r="L6" s="16"/>
      <c r="M6" s="5"/>
      <c r="N6" s="5"/>
      <c r="O6" s="5"/>
      <c r="P6" s="5"/>
      <c r="Q6" s="5"/>
      <c r="R6" s="5"/>
      <c r="S6" s="17"/>
      <c r="T6" s="22"/>
      <c r="U6" s="16"/>
      <c r="V6" s="5"/>
      <c r="W6" s="5"/>
      <c r="X6" s="5"/>
      <c r="Y6" s="5"/>
      <c r="Z6" s="5"/>
      <c r="AA6" s="17"/>
    </row>
    <row r="7" spans="2:27">
      <c r="B7" s="24">
        <v>46208</v>
      </c>
      <c r="C7" s="5"/>
      <c r="D7" s="17"/>
      <c r="E7" s="16"/>
      <c r="F7" s="5"/>
      <c r="G7" s="5"/>
      <c r="H7" s="17"/>
      <c r="I7" s="16"/>
      <c r="J7" s="5"/>
      <c r="K7" s="5"/>
      <c r="L7" s="16"/>
      <c r="M7" s="5"/>
      <c r="N7" s="5"/>
      <c r="O7" s="5"/>
      <c r="P7" s="5"/>
      <c r="Q7" s="5"/>
      <c r="R7" s="5"/>
      <c r="S7" s="17"/>
      <c r="T7" s="22"/>
      <c r="U7" s="16"/>
      <c r="V7" s="5"/>
      <c r="W7" s="5"/>
      <c r="X7" s="5"/>
      <c r="Y7" s="5"/>
      <c r="Z7" s="5"/>
      <c r="AA7" s="17"/>
    </row>
    <row r="8" spans="2:27">
      <c r="B8" s="24">
        <v>46209</v>
      </c>
      <c r="C8" s="5"/>
      <c r="D8" s="17"/>
      <c r="E8" s="16"/>
      <c r="F8" s="5"/>
      <c r="G8" s="5"/>
      <c r="H8" s="17"/>
      <c r="I8" s="16"/>
      <c r="J8" s="5"/>
      <c r="K8" s="5"/>
      <c r="L8" s="16"/>
      <c r="M8" s="5"/>
      <c r="N8" s="5"/>
      <c r="O8" s="5"/>
      <c r="P8" s="5"/>
      <c r="Q8" s="5"/>
      <c r="R8" s="5"/>
      <c r="S8" s="17"/>
      <c r="T8" s="22"/>
      <c r="U8" s="16"/>
      <c r="V8" s="5"/>
      <c r="W8" s="5"/>
      <c r="X8" s="5"/>
      <c r="Y8" s="5"/>
      <c r="Z8" s="5"/>
      <c r="AA8" s="17"/>
    </row>
    <row r="9" spans="2:27">
      <c r="B9" s="24">
        <v>46210</v>
      </c>
      <c r="C9" s="5"/>
      <c r="D9" s="17"/>
      <c r="E9" s="16"/>
      <c r="F9" s="5"/>
      <c r="G9" s="5"/>
      <c r="H9" s="17"/>
      <c r="I9" s="16"/>
      <c r="J9" s="5"/>
      <c r="K9" s="5"/>
      <c r="L9" s="16"/>
      <c r="M9" s="5"/>
      <c r="N9" s="5"/>
      <c r="O9" s="5"/>
      <c r="P9" s="5"/>
      <c r="Q9" s="5"/>
      <c r="R9" s="5"/>
      <c r="S9" s="17"/>
      <c r="T9" s="22"/>
      <c r="U9" s="16"/>
      <c r="V9" s="5"/>
      <c r="W9" s="5"/>
      <c r="X9" s="5"/>
      <c r="Y9" s="5"/>
      <c r="Z9" s="5"/>
      <c r="AA9" s="17"/>
    </row>
    <row r="10" spans="2:27">
      <c r="B10" s="24">
        <v>46211</v>
      </c>
      <c r="C10" s="5"/>
      <c r="D10" s="17"/>
      <c r="E10" s="16"/>
      <c r="F10" s="5"/>
      <c r="G10" s="5"/>
      <c r="H10" s="17"/>
      <c r="I10" s="16"/>
      <c r="J10" s="5"/>
      <c r="K10" s="5"/>
      <c r="L10" s="16"/>
      <c r="M10" s="5"/>
      <c r="N10" s="5"/>
      <c r="O10" s="5"/>
      <c r="P10" s="5"/>
      <c r="Q10" s="5"/>
      <c r="R10" s="5"/>
      <c r="S10" s="17"/>
      <c r="T10" s="22"/>
      <c r="U10" s="16"/>
      <c r="V10" s="5"/>
      <c r="W10" s="5"/>
      <c r="X10" s="5"/>
      <c r="Y10" s="5"/>
      <c r="Z10" s="5"/>
      <c r="AA10" s="17"/>
    </row>
    <row r="11" spans="2:27">
      <c r="B11" s="24">
        <v>46212</v>
      </c>
      <c r="C11" s="5"/>
      <c r="D11" s="17"/>
      <c r="E11" s="16"/>
      <c r="F11" s="5"/>
      <c r="G11" s="5"/>
      <c r="H11" s="17"/>
      <c r="I11" s="16"/>
      <c r="J11" s="5"/>
      <c r="K11" s="5"/>
      <c r="L11" s="16"/>
      <c r="M11" s="5"/>
      <c r="N11" s="5"/>
      <c r="O11" s="5"/>
      <c r="P11" s="5"/>
      <c r="Q11" s="5"/>
      <c r="R11" s="5"/>
      <c r="S11" s="17"/>
      <c r="T11" s="22"/>
      <c r="U11" s="16"/>
      <c r="V11" s="5"/>
      <c r="W11" s="5"/>
      <c r="X11" s="5"/>
      <c r="Y11" s="5"/>
      <c r="Z11" s="5"/>
      <c r="AA11" s="17"/>
    </row>
    <row r="12" spans="2:27">
      <c r="B12" s="24">
        <v>46213</v>
      </c>
      <c r="C12" s="5"/>
      <c r="D12" s="17"/>
      <c r="E12" s="16"/>
      <c r="F12" s="5"/>
      <c r="G12" s="5"/>
      <c r="H12" s="17"/>
      <c r="I12" s="16"/>
      <c r="J12" s="5"/>
      <c r="K12" s="5"/>
      <c r="L12" s="16"/>
      <c r="M12" s="5"/>
      <c r="N12" s="5"/>
      <c r="O12" s="5"/>
      <c r="P12" s="5"/>
      <c r="Q12" s="5"/>
      <c r="R12" s="5"/>
      <c r="S12" s="17"/>
      <c r="T12" s="22"/>
      <c r="U12" s="16"/>
      <c r="V12" s="5"/>
      <c r="W12" s="5"/>
      <c r="X12" s="5"/>
      <c r="Y12" s="5"/>
      <c r="Z12" s="5"/>
      <c r="AA12" s="17"/>
    </row>
    <row r="13" spans="2:27">
      <c r="B13" s="24">
        <v>46214</v>
      </c>
      <c r="C13" s="5"/>
      <c r="D13" s="17"/>
      <c r="E13" s="16"/>
      <c r="F13" s="5"/>
      <c r="G13" s="5"/>
      <c r="H13" s="17"/>
      <c r="I13" s="16"/>
      <c r="J13" s="5"/>
      <c r="K13" s="5"/>
      <c r="L13" s="16"/>
      <c r="M13" s="5"/>
      <c r="N13" s="5"/>
      <c r="O13" s="5"/>
      <c r="P13" s="5"/>
      <c r="Q13" s="5"/>
      <c r="R13" s="5"/>
      <c r="S13" s="17"/>
      <c r="T13" s="22"/>
      <c r="U13" s="16"/>
      <c r="V13" s="5"/>
      <c r="W13" s="5"/>
      <c r="X13" s="5"/>
      <c r="Y13" s="5"/>
      <c r="Z13" s="5"/>
      <c r="AA13" s="17"/>
    </row>
    <row r="14" spans="2:27">
      <c r="B14" s="24">
        <v>46215</v>
      </c>
      <c r="C14" s="5"/>
      <c r="D14" s="17"/>
      <c r="E14" s="16"/>
      <c r="F14" s="5"/>
      <c r="G14" s="5"/>
      <c r="H14" s="17"/>
      <c r="I14" s="16"/>
      <c r="J14" s="5"/>
      <c r="K14" s="5"/>
      <c r="L14" s="16"/>
      <c r="M14" s="5"/>
      <c r="N14" s="5"/>
      <c r="O14" s="5"/>
      <c r="P14" s="5"/>
      <c r="Q14" s="5"/>
      <c r="R14" s="5"/>
      <c r="S14" s="17"/>
      <c r="T14" s="22"/>
      <c r="U14" s="16"/>
      <c r="V14" s="5"/>
      <c r="W14" s="5"/>
      <c r="X14" s="5"/>
      <c r="Y14" s="5"/>
      <c r="Z14" s="5"/>
      <c r="AA14" s="17"/>
    </row>
    <row r="15" spans="2:27">
      <c r="B15" s="24">
        <v>46216</v>
      </c>
      <c r="C15" s="5"/>
      <c r="D15" s="17"/>
      <c r="E15" s="16"/>
      <c r="F15" s="5"/>
      <c r="G15" s="5"/>
      <c r="H15" s="17"/>
      <c r="I15" s="16"/>
      <c r="J15" s="5"/>
      <c r="K15" s="5"/>
      <c r="L15" s="16"/>
      <c r="M15" s="5"/>
      <c r="N15" s="5"/>
      <c r="O15" s="5"/>
      <c r="P15" s="5"/>
      <c r="Q15" s="5"/>
      <c r="R15" s="5"/>
      <c r="S15" s="17"/>
      <c r="T15" s="22"/>
      <c r="U15" s="16"/>
      <c r="V15" s="5"/>
      <c r="W15" s="5"/>
      <c r="X15" s="5"/>
      <c r="Y15" s="5"/>
      <c r="Z15" s="5"/>
      <c r="AA15" s="17"/>
    </row>
    <row r="16" spans="2:27">
      <c r="B16" s="24">
        <v>46217</v>
      </c>
      <c r="C16" s="5"/>
      <c r="D16" s="17"/>
      <c r="E16" s="16"/>
      <c r="F16" s="5"/>
      <c r="G16" s="5"/>
      <c r="H16" s="17"/>
      <c r="I16" s="16"/>
      <c r="J16" s="5"/>
      <c r="K16" s="5"/>
      <c r="L16" s="16"/>
      <c r="M16" s="5"/>
      <c r="N16" s="5"/>
      <c r="O16" s="5"/>
      <c r="P16" s="5"/>
      <c r="Q16" s="5"/>
      <c r="R16" s="5"/>
      <c r="S16" s="17"/>
      <c r="T16" s="22"/>
      <c r="U16" s="16"/>
      <c r="V16" s="5"/>
      <c r="W16" s="5"/>
      <c r="X16" s="5"/>
      <c r="Y16" s="5"/>
      <c r="Z16" s="5"/>
      <c r="AA16" s="17"/>
    </row>
    <row r="17" spans="2:27">
      <c r="B17" s="24">
        <v>46218</v>
      </c>
      <c r="C17" s="5"/>
      <c r="D17" s="17"/>
      <c r="E17" s="16"/>
      <c r="F17" s="5"/>
      <c r="G17" s="5"/>
      <c r="H17" s="17"/>
      <c r="I17" s="16"/>
      <c r="J17" s="5"/>
      <c r="K17" s="5"/>
      <c r="L17" s="16"/>
      <c r="M17" s="5"/>
      <c r="N17" s="5"/>
      <c r="O17" s="5"/>
      <c r="P17" s="5"/>
      <c r="Q17" s="5"/>
      <c r="R17" s="5"/>
      <c r="S17" s="17"/>
      <c r="T17" s="22"/>
      <c r="U17" s="16"/>
      <c r="V17" s="5"/>
      <c r="W17" s="5"/>
      <c r="X17" s="5"/>
      <c r="Y17" s="5"/>
      <c r="Z17" s="5"/>
      <c r="AA17" s="17"/>
    </row>
    <row r="18" spans="2:27">
      <c r="B18" s="24">
        <v>46219</v>
      </c>
      <c r="C18" s="5"/>
      <c r="D18" s="17"/>
      <c r="E18" s="16"/>
      <c r="F18" s="5"/>
      <c r="G18" s="5"/>
      <c r="H18" s="17"/>
      <c r="I18" s="16"/>
      <c r="J18" s="5"/>
      <c r="K18" s="5"/>
      <c r="L18" s="16"/>
      <c r="M18" s="5"/>
      <c r="N18" s="5"/>
      <c r="O18" s="5"/>
      <c r="P18" s="5"/>
      <c r="Q18" s="5"/>
      <c r="R18" s="5"/>
      <c r="S18" s="17"/>
      <c r="T18" s="22"/>
      <c r="U18" s="16"/>
      <c r="V18" s="5"/>
      <c r="W18" s="5"/>
      <c r="X18" s="5"/>
      <c r="Y18" s="5"/>
      <c r="Z18" s="5"/>
      <c r="AA18" s="17"/>
    </row>
    <row r="19" spans="2:27">
      <c r="B19" s="24">
        <v>46220</v>
      </c>
      <c r="C19" s="5"/>
      <c r="D19" s="17"/>
      <c r="E19" s="16"/>
      <c r="F19" s="5"/>
      <c r="G19" s="5"/>
      <c r="H19" s="17"/>
      <c r="I19" s="16"/>
      <c r="J19" s="5"/>
      <c r="K19" s="5"/>
      <c r="L19" s="16"/>
      <c r="M19" s="5"/>
      <c r="N19" s="5"/>
      <c r="O19" s="5"/>
      <c r="P19" s="5"/>
      <c r="Q19" s="5"/>
      <c r="R19" s="5"/>
      <c r="S19" s="17"/>
      <c r="T19" s="22"/>
      <c r="U19" s="16"/>
      <c r="V19" s="5"/>
      <c r="W19" s="5"/>
      <c r="X19" s="5"/>
      <c r="Y19" s="5"/>
      <c r="Z19" s="5"/>
      <c r="AA19" s="17"/>
    </row>
    <row r="20" spans="2:27">
      <c r="B20" s="24">
        <v>46221</v>
      </c>
      <c r="C20" s="5"/>
      <c r="D20" s="17"/>
      <c r="E20" s="16"/>
      <c r="F20" s="5"/>
      <c r="G20" s="5"/>
      <c r="H20" s="17"/>
      <c r="I20" s="16"/>
      <c r="J20" s="5"/>
      <c r="K20" s="5"/>
      <c r="L20" s="16"/>
      <c r="M20" s="5"/>
      <c r="N20" s="5"/>
      <c r="O20" s="5"/>
      <c r="P20" s="5"/>
      <c r="Q20" s="5"/>
      <c r="R20" s="5"/>
      <c r="S20" s="17"/>
      <c r="T20" s="22"/>
      <c r="U20" s="16"/>
      <c r="V20" s="5"/>
      <c r="W20" s="5"/>
      <c r="X20" s="5"/>
      <c r="Y20" s="5"/>
      <c r="Z20" s="5"/>
      <c r="AA20" s="17"/>
    </row>
    <row r="21" spans="2:27">
      <c r="B21" s="24">
        <v>46222</v>
      </c>
      <c r="C21" s="5"/>
      <c r="D21" s="17"/>
      <c r="E21" s="16"/>
      <c r="F21" s="5"/>
      <c r="G21" s="5"/>
      <c r="H21" s="17"/>
      <c r="I21" s="16"/>
      <c r="J21" s="5"/>
      <c r="K21" s="5"/>
      <c r="L21" s="16"/>
      <c r="M21" s="5"/>
      <c r="N21" s="5"/>
      <c r="O21" s="5"/>
      <c r="P21" s="5"/>
      <c r="Q21" s="5"/>
      <c r="R21" s="5"/>
      <c r="S21" s="17"/>
      <c r="T21" s="22"/>
      <c r="U21" s="16"/>
      <c r="V21" s="5"/>
      <c r="W21" s="5"/>
      <c r="X21" s="5"/>
      <c r="Y21" s="5"/>
      <c r="Z21" s="5"/>
      <c r="AA21" s="17"/>
    </row>
    <row r="22" spans="2:27">
      <c r="B22" s="24">
        <v>46223</v>
      </c>
      <c r="C22" s="5"/>
      <c r="D22" s="17"/>
      <c r="E22" s="16"/>
      <c r="F22" s="5"/>
      <c r="G22" s="5"/>
      <c r="H22" s="17"/>
      <c r="I22" s="16"/>
      <c r="J22" s="5"/>
      <c r="K22" s="5"/>
      <c r="L22" s="16"/>
      <c r="M22" s="5"/>
      <c r="N22" s="5"/>
      <c r="O22" s="5"/>
      <c r="P22" s="5"/>
      <c r="Q22" s="5"/>
      <c r="R22" s="5"/>
      <c r="S22" s="17"/>
      <c r="T22" s="22"/>
      <c r="U22" s="16"/>
      <c r="V22" s="5"/>
      <c r="W22" s="5"/>
      <c r="X22" s="5"/>
      <c r="Y22" s="5"/>
      <c r="Z22" s="5"/>
      <c r="AA22" s="17"/>
    </row>
    <row r="23" spans="2:27">
      <c r="B23" s="24">
        <v>46224</v>
      </c>
      <c r="C23" s="5"/>
      <c r="D23" s="17"/>
      <c r="E23" s="16"/>
      <c r="F23" s="5"/>
      <c r="G23" s="5"/>
      <c r="H23" s="17"/>
      <c r="I23" s="16"/>
      <c r="J23" s="5"/>
      <c r="K23" s="5"/>
      <c r="L23" s="16"/>
      <c r="M23" s="5"/>
      <c r="N23" s="5"/>
      <c r="O23" s="5"/>
      <c r="P23" s="5"/>
      <c r="Q23" s="5"/>
      <c r="R23" s="5"/>
      <c r="S23" s="17"/>
      <c r="T23" s="22"/>
      <c r="U23" s="16"/>
      <c r="V23" s="5"/>
      <c r="W23" s="5"/>
      <c r="X23" s="5"/>
      <c r="Y23" s="5"/>
      <c r="Z23" s="5"/>
      <c r="AA23" s="17"/>
    </row>
    <row r="24" spans="2:27">
      <c r="B24" s="24">
        <v>46225</v>
      </c>
      <c r="C24" s="5"/>
      <c r="D24" s="17"/>
      <c r="E24" s="16"/>
      <c r="F24" s="5"/>
      <c r="G24" s="5"/>
      <c r="H24" s="17"/>
      <c r="I24" s="16"/>
      <c r="J24" s="5"/>
      <c r="K24" s="5"/>
      <c r="L24" s="16"/>
      <c r="M24" s="5"/>
      <c r="N24" s="5"/>
      <c r="O24" s="5"/>
      <c r="P24" s="5"/>
      <c r="Q24" s="5"/>
      <c r="R24" s="5"/>
      <c r="S24" s="17"/>
      <c r="T24" s="22"/>
      <c r="U24" s="16"/>
      <c r="V24" s="5"/>
      <c r="W24" s="5"/>
      <c r="X24" s="5"/>
      <c r="Y24" s="5"/>
      <c r="Z24" s="5"/>
      <c r="AA24" s="17"/>
    </row>
    <row r="25" spans="2:27">
      <c r="B25" s="24">
        <v>46226</v>
      </c>
      <c r="C25" s="5"/>
      <c r="D25" s="17"/>
      <c r="E25" s="16"/>
      <c r="F25" s="5"/>
      <c r="G25" s="5"/>
      <c r="H25" s="17"/>
      <c r="I25" s="16"/>
      <c r="J25" s="5"/>
      <c r="K25" s="5"/>
      <c r="L25" s="16"/>
      <c r="M25" s="5"/>
      <c r="N25" s="5"/>
      <c r="O25" s="5"/>
      <c r="P25" s="5"/>
      <c r="Q25" s="5"/>
      <c r="R25" s="5"/>
      <c r="S25" s="17"/>
      <c r="T25" s="22"/>
      <c r="U25" s="16"/>
      <c r="V25" s="5"/>
      <c r="W25" s="5"/>
      <c r="X25" s="5"/>
      <c r="Y25" s="5"/>
      <c r="Z25" s="5"/>
      <c r="AA25" s="17"/>
    </row>
    <row r="26" spans="2:27">
      <c r="B26" s="24">
        <v>46227</v>
      </c>
      <c r="C26" s="5"/>
      <c r="D26" s="17"/>
      <c r="E26" s="16"/>
      <c r="F26" s="5"/>
      <c r="G26" s="5"/>
      <c r="H26" s="17"/>
      <c r="I26" s="16"/>
      <c r="J26" s="5"/>
      <c r="K26" s="5"/>
      <c r="L26" s="16"/>
      <c r="M26" s="5"/>
      <c r="N26" s="5"/>
      <c r="O26" s="5"/>
      <c r="P26" s="5"/>
      <c r="Q26" s="5"/>
      <c r="R26" s="5"/>
      <c r="S26" s="17"/>
      <c r="T26" s="22"/>
      <c r="U26" s="16"/>
      <c r="V26" s="5"/>
      <c r="W26" s="5"/>
      <c r="X26" s="5"/>
      <c r="Y26" s="5"/>
      <c r="Z26" s="5"/>
      <c r="AA26" s="17"/>
    </row>
    <row r="27" spans="2:27">
      <c r="B27" s="24">
        <v>46228</v>
      </c>
      <c r="C27" s="5"/>
      <c r="D27" s="17"/>
      <c r="E27" s="16"/>
      <c r="F27" s="5"/>
      <c r="G27" s="5"/>
      <c r="H27" s="17"/>
      <c r="I27" s="16"/>
      <c r="J27" s="5"/>
      <c r="K27" s="5"/>
      <c r="L27" s="16"/>
      <c r="M27" s="5"/>
      <c r="N27" s="5"/>
      <c r="O27" s="5"/>
      <c r="P27" s="5"/>
      <c r="Q27" s="5"/>
      <c r="R27" s="5"/>
      <c r="S27" s="17"/>
      <c r="T27" s="22"/>
      <c r="U27" s="16"/>
      <c r="V27" s="5"/>
      <c r="W27" s="5"/>
      <c r="X27" s="5"/>
      <c r="Y27" s="5"/>
      <c r="Z27" s="5"/>
      <c r="AA27" s="17"/>
    </row>
    <row r="28" spans="2:27">
      <c r="B28" s="24">
        <v>46229</v>
      </c>
      <c r="C28" s="5"/>
      <c r="D28" s="17"/>
      <c r="E28" s="16"/>
      <c r="F28" s="5"/>
      <c r="G28" s="5"/>
      <c r="H28" s="17"/>
      <c r="I28" s="16"/>
      <c r="J28" s="5"/>
      <c r="K28" s="5"/>
      <c r="L28" s="16"/>
      <c r="M28" s="5"/>
      <c r="N28" s="5"/>
      <c r="O28" s="5"/>
      <c r="P28" s="5"/>
      <c r="Q28" s="5"/>
      <c r="R28" s="5"/>
      <c r="S28" s="17"/>
      <c r="T28" s="22"/>
      <c r="U28" s="16"/>
      <c r="V28" s="5"/>
      <c r="W28" s="5"/>
      <c r="X28" s="5"/>
      <c r="Y28" s="5"/>
      <c r="Z28" s="5"/>
      <c r="AA28" s="17"/>
    </row>
    <row r="29" spans="2:27">
      <c r="B29" s="24">
        <v>46230</v>
      </c>
      <c r="C29" s="5"/>
      <c r="D29" s="17"/>
      <c r="E29" s="16"/>
      <c r="F29" s="5"/>
      <c r="G29" s="5"/>
      <c r="H29" s="17"/>
      <c r="I29" s="16"/>
      <c r="J29" s="5"/>
      <c r="K29" s="5"/>
      <c r="L29" s="16"/>
      <c r="M29" s="5"/>
      <c r="N29" s="5"/>
      <c r="O29" s="5"/>
      <c r="P29" s="5"/>
      <c r="Q29" s="5"/>
      <c r="R29" s="5"/>
      <c r="S29" s="17"/>
      <c r="T29" s="22"/>
      <c r="U29" s="16"/>
      <c r="V29" s="5"/>
      <c r="W29" s="5"/>
      <c r="X29" s="5"/>
      <c r="Y29" s="5"/>
      <c r="Z29" s="5"/>
      <c r="AA29" s="17"/>
    </row>
    <row r="30" spans="2:27">
      <c r="B30" s="24">
        <v>46231</v>
      </c>
      <c r="C30" s="5"/>
      <c r="D30" s="17"/>
      <c r="E30" s="16"/>
      <c r="F30" s="5"/>
      <c r="G30" s="5"/>
      <c r="H30" s="17"/>
      <c r="I30" s="16"/>
      <c r="J30" s="5"/>
      <c r="K30" s="5"/>
      <c r="L30" s="16"/>
      <c r="M30" s="5"/>
      <c r="N30" s="5"/>
      <c r="O30" s="5"/>
      <c r="P30" s="5"/>
      <c r="Q30" s="5"/>
      <c r="R30" s="5"/>
      <c r="S30" s="17"/>
      <c r="T30" s="22"/>
      <c r="U30" s="16"/>
      <c r="V30" s="5"/>
      <c r="W30" s="5"/>
      <c r="X30" s="5"/>
      <c r="Y30" s="5"/>
      <c r="Z30" s="5"/>
      <c r="AA30" s="17"/>
    </row>
    <row r="31" spans="2:27">
      <c r="B31" s="24">
        <v>46232</v>
      </c>
      <c r="C31" s="5"/>
      <c r="D31" s="17"/>
      <c r="E31" s="16"/>
      <c r="F31" s="5"/>
      <c r="G31" s="5"/>
      <c r="H31" s="17"/>
      <c r="I31" s="16"/>
      <c r="J31" s="5"/>
      <c r="K31" s="5"/>
      <c r="L31" s="16"/>
      <c r="M31" s="5"/>
      <c r="N31" s="5"/>
      <c r="O31" s="5"/>
      <c r="P31" s="5"/>
      <c r="Q31" s="5"/>
      <c r="R31" s="5"/>
      <c r="S31" s="17"/>
      <c r="T31" s="22"/>
      <c r="U31" s="16"/>
      <c r="V31" s="5"/>
      <c r="W31" s="5"/>
      <c r="X31" s="5"/>
      <c r="Y31" s="5"/>
      <c r="Z31" s="5"/>
      <c r="AA31" s="17"/>
    </row>
    <row r="32" spans="2:27">
      <c r="B32" s="24">
        <v>46233</v>
      </c>
      <c r="C32" s="5"/>
      <c r="D32" s="17"/>
      <c r="E32" s="16"/>
      <c r="F32" s="5"/>
      <c r="G32" s="5"/>
      <c r="H32" s="17"/>
      <c r="I32" s="16"/>
      <c r="J32" s="5"/>
      <c r="K32" s="5"/>
      <c r="L32" s="16"/>
      <c r="M32" s="5"/>
      <c r="N32" s="5"/>
      <c r="O32" s="5"/>
      <c r="P32" s="5"/>
      <c r="Q32" s="5"/>
      <c r="R32" s="5"/>
      <c r="S32" s="17"/>
      <c r="T32" s="22"/>
      <c r="U32" s="16"/>
      <c r="V32" s="5"/>
      <c r="W32" s="5"/>
      <c r="X32" s="5"/>
      <c r="Y32" s="5"/>
      <c r="Z32" s="5"/>
      <c r="AA32" s="17"/>
    </row>
    <row r="33" spans="2:27" ht="15" thickBot="1">
      <c r="B33" s="24">
        <v>46234</v>
      </c>
      <c r="C33" s="19"/>
      <c r="D33" s="20"/>
      <c r="E33" s="18"/>
      <c r="F33" s="19"/>
      <c r="G33" s="19"/>
      <c r="H33" s="20"/>
      <c r="I33" s="18"/>
      <c r="J33" s="19"/>
      <c r="K33" s="19"/>
      <c r="L33" s="18"/>
      <c r="M33" s="19"/>
      <c r="N33" s="19"/>
      <c r="O33" s="19"/>
      <c r="P33" s="19"/>
      <c r="Q33" s="19"/>
      <c r="R33" s="19"/>
      <c r="S33" s="20"/>
      <c r="T33" s="23"/>
      <c r="U33" s="18"/>
      <c r="V33" s="19"/>
      <c r="W33" s="19"/>
      <c r="X33" s="19"/>
      <c r="Y33" s="19"/>
      <c r="Z33" s="19"/>
      <c r="AA33" s="20"/>
    </row>
  </sheetData>
  <mergeCells count="5">
    <mergeCell ref="L1:S1"/>
    <mergeCell ref="U1:AA1"/>
    <mergeCell ref="E1:H1"/>
    <mergeCell ref="B1:D1"/>
    <mergeCell ref="I1:K1"/>
  </mergeCells>
  <pageMargins left="0.7" right="0.7" top="0.75" bottom="0.75" header="0.3" footer="0.3"/>
  <pageSetup scale="7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B056D-908A-4239-BC6B-F70A3F25F001}">
  <dimension ref="B1:T54"/>
  <sheetViews>
    <sheetView topLeftCell="A38" workbookViewId="0">
      <pane xSplit="2" topLeftCell="I1" activePane="topRight" state="frozen"/>
      <selection pane="topRight" activeCell="O3" sqref="O3"/>
    </sheetView>
  </sheetViews>
  <sheetFormatPr defaultColWidth="10.85546875" defaultRowHeight="14.45"/>
  <cols>
    <col min="1" max="1" width="3.5703125" style="1" customWidth="1"/>
    <col min="2" max="2" width="11.140625" style="32" bestFit="1" customWidth="1"/>
    <col min="3" max="3" width="18.28515625" style="1" customWidth="1"/>
    <col min="4" max="4" width="23.7109375" style="1" customWidth="1"/>
    <col min="5" max="5" width="13.5703125" style="1" customWidth="1"/>
    <col min="6" max="6" width="12.140625" style="1" customWidth="1"/>
    <col min="7" max="7" width="13.140625" style="1" customWidth="1"/>
    <col min="8" max="8" width="10.85546875" style="1"/>
    <col min="9" max="9" width="16.140625" style="1" bestFit="1" customWidth="1"/>
    <col min="10" max="10" width="12.140625" style="1" customWidth="1"/>
    <col min="11" max="11" width="10.85546875" style="1"/>
    <col min="12" max="12" width="14" style="1" customWidth="1"/>
    <col min="13" max="13" width="13.7109375" style="1" customWidth="1"/>
    <col min="14" max="14" width="15.42578125" style="29" customWidth="1"/>
    <col min="15" max="15" width="22.140625" style="1" customWidth="1"/>
    <col min="16" max="16" width="10.85546875" style="1"/>
    <col min="17" max="17" width="10.85546875" style="1" customWidth="1"/>
    <col min="18" max="16384" width="10.85546875" style="1"/>
  </cols>
  <sheetData>
    <row r="1" spans="2:19">
      <c r="B1" s="173" t="s">
        <v>45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5"/>
    </row>
    <row r="2" spans="2:19" ht="43.5">
      <c r="B2" s="83" t="s">
        <v>42</v>
      </c>
      <c r="C2" s="73" t="s">
        <v>46</v>
      </c>
      <c r="D2" s="73" t="s">
        <v>47</v>
      </c>
      <c r="E2" s="73" t="s">
        <v>48</v>
      </c>
      <c r="F2" s="73" t="s">
        <v>49</v>
      </c>
      <c r="G2" s="73" t="s">
        <v>50</v>
      </c>
      <c r="H2" s="73" t="s">
        <v>51</v>
      </c>
      <c r="I2" s="73" t="s">
        <v>52</v>
      </c>
      <c r="J2" s="73" t="s">
        <v>53</v>
      </c>
      <c r="K2" s="73" t="s">
        <v>31</v>
      </c>
      <c r="L2" s="73" t="s">
        <v>54</v>
      </c>
      <c r="M2" s="73" t="s">
        <v>55</v>
      </c>
      <c r="N2" s="84" t="s">
        <v>56</v>
      </c>
      <c r="O2" s="73" t="s">
        <v>57</v>
      </c>
      <c r="P2" s="73" t="s">
        <v>25</v>
      </c>
      <c r="Q2" s="74" t="s">
        <v>58</v>
      </c>
      <c r="R2" s="4"/>
    </row>
    <row r="3" spans="2:19" ht="15.6">
      <c r="B3" s="85">
        <v>46204</v>
      </c>
      <c r="C3" s="71">
        <f>'Físico-químico'!Z3*('Físico-químico'!AA3)*1/3/1000</f>
        <v>71.946666666666673</v>
      </c>
      <c r="D3" s="36">
        <v>955</v>
      </c>
      <c r="E3" s="36">
        <v>14200</v>
      </c>
      <c r="F3" s="36" t="s">
        <v>35</v>
      </c>
      <c r="G3" s="36" t="s">
        <v>35</v>
      </c>
      <c r="H3" s="36" t="s">
        <v>35</v>
      </c>
      <c r="I3" s="36" t="s">
        <v>35</v>
      </c>
      <c r="J3" s="36">
        <f>C3/E3</f>
        <v>5.0666666666666672E-3</v>
      </c>
      <c r="K3" s="36">
        <v>7.87</v>
      </c>
      <c r="L3" s="36">
        <v>3.8</v>
      </c>
      <c r="M3" s="36" t="s">
        <v>35</v>
      </c>
      <c r="N3" s="37">
        <v>34605.5</v>
      </c>
      <c r="O3" s="138">
        <f t="shared" ref="O3:O54" si="0">IF(OR(N3="",N4=""),0,IF(AND(ISNUMBER(N3),ISNUMBER(N4)),N4-N3,0))</f>
        <v>7.3000000000029104</v>
      </c>
      <c r="P3" s="36"/>
      <c r="Q3" s="82">
        <f>IF(OR(P2="",P3=""),0,IF(AND(ISNUMBER(P2),ISNUMBER(P3)),P3-P2,0))</f>
        <v>0</v>
      </c>
    </row>
    <row r="4" spans="2:19" ht="15.6">
      <c r="B4" s="85">
        <v>46205</v>
      </c>
      <c r="C4" s="71">
        <f>'Físico-químico'!Z4*('Físico-químico'!AA4)*1/3/1000</f>
        <v>78.833333333333329</v>
      </c>
      <c r="D4" s="38">
        <v>950</v>
      </c>
      <c r="E4" s="38">
        <v>31300</v>
      </c>
      <c r="F4" s="38"/>
      <c r="G4" s="38"/>
      <c r="H4" s="38"/>
      <c r="I4" s="38"/>
      <c r="J4" s="36">
        <f t="shared" ref="J4:J33" si="1">C4/E4</f>
        <v>2.5186368477103302E-3</v>
      </c>
      <c r="K4" s="38">
        <v>7.8</v>
      </c>
      <c r="L4" s="38">
        <v>1.34</v>
      </c>
      <c r="M4" s="38"/>
      <c r="N4" s="39">
        <v>34612.800000000003</v>
      </c>
      <c r="O4" s="138">
        <f t="shared" si="0"/>
        <v>8.5999999999985448</v>
      </c>
      <c r="P4" s="38"/>
      <c r="Q4" s="82">
        <f t="shared" ref="O4:Q54" si="2">IF(OR(P3="",P4=""),0,IF(AND(ISNUMBER(P3),ISNUMBER(P4)),P4-P3,0))</f>
        <v>0</v>
      </c>
    </row>
    <row r="5" spans="2:19" ht="15.6">
      <c r="B5" s="85">
        <v>46206</v>
      </c>
      <c r="C5" s="71">
        <f>'Físico-químico'!Z5*('Físico-químico'!AA5)*1/3/1000</f>
        <v>144.06</v>
      </c>
      <c r="D5" s="38">
        <v>950</v>
      </c>
      <c r="E5" s="38">
        <v>41500</v>
      </c>
      <c r="F5" s="38"/>
      <c r="G5" s="38"/>
      <c r="H5" s="38"/>
      <c r="I5" s="38"/>
      <c r="J5" s="36">
        <f t="shared" si="1"/>
        <v>3.4713253012048193E-3</v>
      </c>
      <c r="K5" s="38">
        <v>7.85</v>
      </c>
      <c r="L5" s="38">
        <v>3.6</v>
      </c>
      <c r="M5" s="38"/>
      <c r="N5" s="39">
        <v>34621.4</v>
      </c>
      <c r="O5" s="138">
        <f t="shared" si="0"/>
        <v>9.5999999999985448</v>
      </c>
      <c r="P5" s="38"/>
      <c r="Q5" s="82">
        <f t="shared" si="2"/>
        <v>0</v>
      </c>
    </row>
    <row r="6" spans="2:19" ht="15.6">
      <c r="B6" s="89">
        <v>46207</v>
      </c>
      <c r="C6" s="71">
        <f>'Físico-químico'!Z6*('Físico-químico'!AA6)*1/3/1000</f>
        <v>0</v>
      </c>
      <c r="D6" s="40"/>
      <c r="E6" s="40"/>
      <c r="F6" s="40"/>
      <c r="G6" s="40"/>
      <c r="H6" s="40"/>
      <c r="I6" s="40"/>
      <c r="J6" s="36"/>
      <c r="K6" s="40"/>
      <c r="L6" s="40"/>
      <c r="M6" s="40"/>
      <c r="N6" s="41">
        <v>34631</v>
      </c>
      <c r="O6" s="138">
        <f t="shared" si="0"/>
        <v>14.650000000001455</v>
      </c>
      <c r="P6" s="40"/>
      <c r="Q6" s="82">
        <f t="shared" si="2"/>
        <v>0</v>
      </c>
    </row>
    <row r="7" spans="2:19" ht="15.6">
      <c r="B7" s="89">
        <v>46208</v>
      </c>
      <c r="C7" s="71">
        <f>'Físico-químico'!Z7*('Físico-químico'!AA7)*1/3/1000</f>
        <v>0</v>
      </c>
      <c r="D7" s="40"/>
      <c r="E7" s="40"/>
      <c r="F7" s="40"/>
      <c r="G7" s="40"/>
      <c r="H7" s="40"/>
      <c r="I7" s="40"/>
      <c r="J7" s="36" t="e">
        <f t="shared" si="1"/>
        <v>#DIV/0!</v>
      </c>
      <c r="K7" s="40"/>
      <c r="L7" s="40"/>
      <c r="M7" s="40"/>
      <c r="N7" s="41">
        <v>34645.65</v>
      </c>
      <c r="O7" s="138">
        <f t="shared" si="0"/>
        <v>14.650000000001455</v>
      </c>
      <c r="P7" s="40"/>
      <c r="Q7" s="82">
        <f t="shared" si="2"/>
        <v>0</v>
      </c>
    </row>
    <row r="8" spans="2:19" ht="15.6">
      <c r="B8" s="85">
        <v>46209</v>
      </c>
      <c r="C8" s="71">
        <f>'Físico-químico'!Z8*('Físico-químico'!AA8)*1/3/1000</f>
        <v>158.38999999999999</v>
      </c>
      <c r="D8" s="40">
        <v>950</v>
      </c>
      <c r="E8" s="40">
        <v>14200</v>
      </c>
      <c r="F8" s="40"/>
      <c r="G8" s="40"/>
      <c r="H8" s="40"/>
      <c r="I8" s="40"/>
      <c r="J8" s="36">
        <f t="shared" si="1"/>
        <v>1.1154225352112674E-2</v>
      </c>
      <c r="K8" s="40">
        <v>7.87</v>
      </c>
      <c r="L8" s="40">
        <v>2.87</v>
      </c>
      <c r="M8" s="40"/>
      <c r="N8" s="41">
        <v>34660.300000000003</v>
      </c>
      <c r="O8" s="138">
        <f t="shared" si="0"/>
        <v>7.0999999999985448</v>
      </c>
      <c r="P8" s="40"/>
      <c r="Q8" s="82">
        <f t="shared" si="2"/>
        <v>0</v>
      </c>
    </row>
    <row r="9" spans="2:19" ht="15.6">
      <c r="B9" s="85">
        <v>46210</v>
      </c>
      <c r="C9" s="71">
        <f>'Físico-químico'!Z9*('Físico-químico'!AA9)*1/3/1000</f>
        <v>171.63333333333335</v>
      </c>
      <c r="D9" s="40">
        <v>950</v>
      </c>
      <c r="E9" s="40">
        <v>14800</v>
      </c>
      <c r="F9" s="40"/>
      <c r="G9" s="40"/>
      <c r="H9" s="40"/>
      <c r="I9" s="40"/>
      <c r="J9" s="36">
        <f t="shared" si="1"/>
        <v>1.1596846846846849E-2</v>
      </c>
      <c r="K9" s="40">
        <v>7.8</v>
      </c>
      <c r="L9" s="40">
        <v>1.52</v>
      </c>
      <c r="M9" s="40"/>
      <c r="N9" s="41">
        <v>34667.4</v>
      </c>
      <c r="O9" s="138">
        <f t="shared" si="0"/>
        <v>7.2999999999956344</v>
      </c>
      <c r="P9" s="40"/>
      <c r="Q9" s="82">
        <f t="shared" si="2"/>
        <v>0</v>
      </c>
    </row>
    <row r="10" spans="2:19" ht="15.6">
      <c r="B10" s="85">
        <v>46211</v>
      </c>
      <c r="C10" s="71">
        <f>'Físico-químico'!Z10*('Físico-químico'!AA10)*1/3/1000</f>
        <v>94.626666666666665</v>
      </c>
      <c r="D10" s="40">
        <v>950</v>
      </c>
      <c r="E10" s="40">
        <v>14500</v>
      </c>
      <c r="F10" s="40"/>
      <c r="G10" s="40"/>
      <c r="H10" s="40"/>
      <c r="I10" s="40"/>
      <c r="J10" s="36">
        <f t="shared" si="1"/>
        <v>6.5259770114942531E-3</v>
      </c>
      <c r="K10" s="40">
        <v>7.82</v>
      </c>
      <c r="L10" s="40">
        <v>0.93</v>
      </c>
      <c r="M10" s="40"/>
      <c r="N10" s="41">
        <v>34674.699999999997</v>
      </c>
      <c r="O10" s="138">
        <f t="shared" si="0"/>
        <v>6.3000000000029104</v>
      </c>
      <c r="P10" s="40"/>
      <c r="Q10" s="82">
        <f t="shared" si="2"/>
        <v>0</v>
      </c>
    </row>
    <row r="11" spans="2:19" ht="15.6">
      <c r="B11" s="85">
        <v>46212</v>
      </c>
      <c r="C11" s="71">
        <f>'Físico-químico'!Z11*('Físico-químico'!AA11)*1/3/1000</f>
        <v>0</v>
      </c>
      <c r="D11" s="40">
        <v>950</v>
      </c>
      <c r="E11" s="40">
        <v>14600</v>
      </c>
      <c r="F11" s="40"/>
      <c r="G11" s="40"/>
      <c r="H11" s="40"/>
      <c r="I11" s="40"/>
      <c r="J11" s="36">
        <f t="shared" si="1"/>
        <v>0</v>
      </c>
      <c r="K11" s="40">
        <v>7.57</v>
      </c>
      <c r="L11" s="40">
        <v>1.87</v>
      </c>
      <c r="M11" s="40"/>
      <c r="N11" s="41">
        <v>34681</v>
      </c>
      <c r="O11" s="138">
        <f t="shared" si="0"/>
        <v>7.6999999999970896</v>
      </c>
      <c r="P11" s="40"/>
      <c r="Q11" s="82">
        <f t="shared" si="2"/>
        <v>0</v>
      </c>
    </row>
    <row r="12" spans="2:19" ht="15.6">
      <c r="B12" s="85">
        <v>46213</v>
      </c>
      <c r="C12" s="71">
        <f>'Físico-químico'!Z12*('Físico-químico'!AA12)*1/3/1000</f>
        <v>82.133333333333326</v>
      </c>
      <c r="D12" s="40">
        <v>950</v>
      </c>
      <c r="E12" s="40">
        <v>15700</v>
      </c>
      <c r="F12" s="40"/>
      <c r="G12" s="40"/>
      <c r="H12" s="40"/>
      <c r="I12" s="40"/>
      <c r="J12" s="36">
        <f t="shared" si="1"/>
        <v>5.2314225053078549E-3</v>
      </c>
      <c r="K12" s="40">
        <v>7.7</v>
      </c>
      <c r="L12" s="40">
        <v>0.7</v>
      </c>
      <c r="M12" s="40"/>
      <c r="N12" s="41">
        <v>34688.699999999997</v>
      </c>
      <c r="O12" s="138">
        <f t="shared" si="0"/>
        <v>0</v>
      </c>
      <c r="P12" s="40"/>
      <c r="Q12" s="82">
        <f t="shared" si="2"/>
        <v>0</v>
      </c>
    </row>
    <row r="13" spans="2:19" ht="15.6">
      <c r="B13" s="87">
        <v>46214</v>
      </c>
      <c r="C13" s="71">
        <f>'Físico-químico'!Z13*('Físico-químico'!AA13)*1/3/1000</f>
        <v>72.27</v>
      </c>
      <c r="D13" s="40"/>
      <c r="E13" s="40"/>
      <c r="F13" s="40"/>
      <c r="G13" s="40"/>
      <c r="H13" s="40"/>
      <c r="I13" s="40"/>
      <c r="J13" s="36" t="e">
        <f t="shared" si="1"/>
        <v>#DIV/0!</v>
      </c>
      <c r="K13" s="40">
        <v>7.9</v>
      </c>
      <c r="L13" s="40">
        <v>1.27</v>
      </c>
      <c r="M13" s="40"/>
      <c r="N13" s="41"/>
      <c r="O13" s="138">
        <f t="shared" si="0"/>
        <v>0</v>
      </c>
      <c r="P13" s="40"/>
      <c r="Q13" s="82">
        <f t="shared" si="2"/>
        <v>0</v>
      </c>
    </row>
    <row r="14" spans="2:19" ht="15.6">
      <c r="B14" s="87">
        <v>46215</v>
      </c>
      <c r="C14" s="71">
        <f>'Físico-químico'!Z14*('Físico-químico'!AA14)*1/3/1000</f>
        <v>0</v>
      </c>
      <c r="D14" s="40"/>
      <c r="E14" s="40"/>
      <c r="F14" s="40"/>
      <c r="G14" s="40"/>
      <c r="H14" s="40"/>
      <c r="I14" s="40"/>
      <c r="J14" s="36" t="e">
        <f t="shared" si="1"/>
        <v>#DIV/0!</v>
      </c>
      <c r="K14" s="40"/>
      <c r="L14" s="40"/>
      <c r="M14" s="40"/>
      <c r="N14" s="41"/>
      <c r="O14" s="138">
        <f t="shared" si="0"/>
        <v>0</v>
      </c>
      <c r="P14" s="40"/>
      <c r="Q14" s="82">
        <f t="shared" si="2"/>
        <v>0</v>
      </c>
      <c r="S14" s="29"/>
    </row>
    <row r="15" spans="2:19" ht="15.6">
      <c r="B15" s="85">
        <v>46216</v>
      </c>
      <c r="C15" s="71">
        <f>'Físico-químico'!Z15*('Físico-químico'!AA15)*1/3/1000</f>
        <v>0</v>
      </c>
      <c r="D15" s="40">
        <v>950</v>
      </c>
      <c r="E15" s="40">
        <v>20500</v>
      </c>
      <c r="F15" s="40"/>
      <c r="G15" s="40"/>
      <c r="H15" s="40"/>
      <c r="I15" s="40"/>
      <c r="J15" s="36">
        <f t="shared" si="1"/>
        <v>0</v>
      </c>
      <c r="K15" s="40">
        <v>7.9</v>
      </c>
      <c r="L15" s="40">
        <v>1.27</v>
      </c>
      <c r="M15" s="40"/>
      <c r="N15" s="41">
        <v>34726.1</v>
      </c>
      <c r="O15" s="138">
        <f t="shared" si="0"/>
        <v>7</v>
      </c>
      <c r="P15" s="40"/>
      <c r="Q15" s="82">
        <f t="shared" si="2"/>
        <v>0</v>
      </c>
    </row>
    <row r="16" spans="2:19" ht="15.6">
      <c r="B16" s="85">
        <v>46217</v>
      </c>
      <c r="C16" s="71">
        <f>'Físico-químico'!Z16*('Físico-químico'!AA16)*1/3/1000</f>
        <v>229.70666666666665</v>
      </c>
      <c r="D16" s="40">
        <v>950</v>
      </c>
      <c r="E16" s="40">
        <v>18500</v>
      </c>
      <c r="F16" s="40"/>
      <c r="G16" s="40"/>
      <c r="H16" s="40"/>
      <c r="I16" s="40"/>
      <c r="J16" s="36">
        <f t="shared" si="1"/>
        <v>1.2416576576576575E-2</v>
      </c>
      <c r="K16" s="40">
        <v>7.68</v>
      </c>
      <c r="L16" s="40">
        <v>1.21</v>
      </c>
      <c r="M16" s="40"/>
      <c r="N16" s="41">
        <v>34733.1</v>
      </c>
      <c r="O16" s="138">
        <f t="shared" si="0"/>
        <v>0</v>
      </c>
      <c r="P16" s="40"/>
      <c r="Q16" s="82">
        <f t="shared" si="2"/>
        <v>0</v>
      </c>
    </row>
    <row r="17" spans="2:17" ht="15.6">
      <c r="B17" s="85">
        <v>46218</v>
      </c>
      <c r="C17" s="71">
        <f>'Físico-químico'!Z17*('Físico-químico'!AA17)*1/3/1000</f>
        <v>0</v>
      </c>
      <c r="D17" s="40">
        <v>940</v>
      </c>
      <c r="E17" s="40"/>
      <c r="F17" s="40"/>
      <c r="G17" s="40"/>
      <c r="H17" s="40"/>
      <c r="I17" s="40"/>
      <c r="J17" s="36" t="e">
        <f t="shared" si="1"/>
        <v>#DIV/0!</v>
      </c>
      <c r="K17" s="40">
        <v>7.31</v>
      </c>
      <c r="L17" s="40"/>
      <c r="M17" s="40"/>
      <c r="N17" s="41"/>
      <c r="O17" s="138">
        <f t="shared" si="0"/>
        <v>0</v>
      </c>
      <c r="P17" s="40"/>
      <c r="Q17" s="82">
        <f t="shared" si="2"/>
        <v>0</v>
      </c>
    </row>
    <row r="18" spans="2:17" ht="15.6">
      <c r="B18" s="85">
        <v>46219</v>
      </c>
      <c r="C18" s="71">
        <f>'Físico-químico'!Z18*('Físico-químico'!AA18)*1/3/1000</f>
        <v>0</v>
      </c>
      <c r="D18" s="40"/>
      <c r="E18" s="40"/>
      <c r="F18" s="40"/>
      <c r="G18" s="40"/>
      <c r="H18" s="40"/>
      <c r="I18" s="40"/>
      <c r="J18" s="36" t="e">
        <f t="shared" si="1"/>
        <v>#DIV/0!</v>
      </c>
      <c r="K18" s="40"/>
      <c r="L18" s="40"/>
      <c r="M18" s="40"/>
      <c r="N18" s="41"/>
      <c r="O18" s="138">
        <f t="shared" si="0"/>
        <v>0</v>
      </c>
      <c r="P18" s="40"/>
      <c r="Q18" s="82">
        <f t="shared" si="2"/>
        <v>0</v>
      </c>
    </row>
    <row r="19" spans="2:17" ht="15.6">
      <c r="B19" s="85">
        <v>46220</v>
      </c>
      <c r="C19" s="71">
        <f>'Físico-químico'!Z19*('Físico-químico'!AA19)*1/3/1000</f>
        <v>0</v>
      </c>
      <c r="D19" s="40"/>
      <c r="E19" s="40"/>
      <c r="F19" s="40"/>
      <c r="G19" s="40"/>
      <c r="H19" s="40"/>
      <c r="I19" s="40"/>
      <c r="J19" s="36" t="e">
        <f t="shared" si="1"/>
        <v>#DIV/0!</v>
      </c>
      <c r="K19" s="40"/>
      <c r="L19" s="40"/>
      <c r="M19" s="40"/>
      <c r="N19" s="41"/>
      <c r="O19" s="138">
        <f t="shared" si="0"/>
        <v>0</v>
      </c>
      <c r="P19" s="40"/>
      <c r="Q19" s="82">
        <f t="shared" si="2"/>
        <v>0</v>
      </c>
    </row>
    <row r="20" spans="2:17" ht="15.6">
      <c r="B20" s="87">
        <v>46221</v>
      </c>
      <c r="C20" s="71">
        <f>'Físico-químico'!Z20*('Físico-químico'!AA20)*1/3/1000</f>
        <v>0</v>
      </c>
      <c r="D20" s="40"/>
      <c r="E20" s="40"/>
      <c r="F20" s="40"/>
      <c r="G20" s="40"/>
      <c r="H20" s="40"/>
      <c r="I20" s="40"/>
      <c r="J20" s="36" t="e">
        <f t="shared" si="1"/>
        <v>#DIV/0!</v>
      </c>
      <c r="K20" s="40"/>
      <c r="L20" s="40"/>
      <c r="M20" s="40"/>
      <c r="N20" s="41">
        <v>34762.699999999997</v>
      </c>
      <c r="O20" s="138">
        <f t="shared" si="0"/>
        <v>14.700000000004366</v>
      </c>
      <c r="P20" s="40"/>
      <c r="Q20" s="82">
        <f t="shared" si="2"/>
        <v>0</v>
      </c>
    </row>
    <row r="21" spans="2:17" ht="15.6">
      <c r="B21" s="87">
        <v>46222</v>
      </c>
      <c r="C21" s="71">
        <f>'Físico-químico'!Z21*('Físico-químico'!AA21)*1/3/1000</f>
        <v>0</v>
      </c>
      <c r="D21" s="40"/>
      <c r="E21" s="40"/>
      <c r="F21" s="40"/>
      <c r="G21" s="40"/>
      <c r="H21" s="40"/>
      <c r="I21" s="40"/>
      <c r="J21" s="36" t="e">
        <f t="shared" si="1"/>
        <v>#DIV/0!</v>
      </c>
      <c r="K21" s="40"/>
      <c r="L21" s="40"/>
      <c r="M21" s="40"/>
      <c r="N21" s="41">
        <v>34777.4</v>
      </c>
      <c r="O21" s="138">
        <f t="shared" si="0"/>
        <v>14.69999999999709</v>
      </c>
      <c r="P21" s="40"/>
      <c r="Q21" s="82">
        <f t="shared" si="2"/>
        <v>0</v>
      </c>
    </row>
    <row r="22" spans="2:17" ht="15.6">
      <c r="B22" s="85">
        <v>46223</v>
      </c>
      <c r="C22" s="71">
        <f>'Físico-químico'!Z22*('Físico-químico'!AA22)*1/3/1000</f>
        <v>200.54666666666665</v>
      </c>
      <c r="D22" s="40">
        <v>940</v>
      </c>
      <c r="E22" s="40">
        <v>14100</v>
      </c>
      <c r="F22" s="40"/>
      <c r="G22" s="40"/>
      <c r="H22" s="40"/>
      <c r="I22" s="40"/>
      <c r="J22" s="36">
        <f t="shared" si="1"/>
        <v>1.4223167848699763E-2</v>
      </c>
      <c r="K22" s="40">
        <v>7.79</v>
      </c>
      <c r="L22" s="40"/>
      <c r="M22" s="40"/>
      <c r="N22" s="41">
        <v>34792.1</v>
      </c>
      <c r="O22" s="138">
        <f t="shared" si="0"/>
        <v>6.9000000000014552</v>
      </c>
      <c r="P22" s="40"/>
      <c r="Q22" s="82">
        <f t="shared" si="2"/>
        <v>0</v>
      </c>
    </row>
    <row r="23" spans="2:17" ht="15.6">
      <c r="B23" s="85">
        <v>46224</v>
      </c>
      <c r="C23" s="71">
        <f>'Físico-químico'!Z23*('Físico-químico'!AA23)*1/3/1000</f>
        <v>224.93333333333334</v>
      </c>
      <c r="D23" s="40">
        <v>950</v>
      </c>
      <c r="E23" s="40">
        <v>14700</v>
      </c>
      <c r="F23" s="40"/>
      <c r="G23" s="40"/>
      <c r="H23" s="40"/>
      <c r="I23" s="40"/>
      <c r="J23" s="36">
        <f t="shared" si="1"/>
        <v>1.5301587301587302E-2</v>
      </c>
      <c r="K23" s="40">
        <v>7.7</v>
      </c>
      <c r="L23" s="40"/>
      <c r="M23" s="40"/>
      <c r="N23" s="41">
        <v>34799</v>
      </c>
      <c r="O23" s="138">
        <f t="shared" si="0"/>
        <v>6.8000000000029104</v>
      </c>
      <c r="P23" s="40"/>
      <c r="Q23" s="82">
        <f t="shared" si="2"/>
        <v>0</v>
      </c>
    </row>
    <row r="24" spans="2:17" ht="15.6">
      <c r="B24" s="85">
        <v>46225</v>
      </c>
      <c r="C24" s="71">
        <f>'Físico-químico'!Z24*('Físico-químico'!AA24)*1/3/1000</f>
        <v>104.92</v>
      </c>
      <c r="D24" s="40">
        <v>950</v>
      </c>
      <c r="E24" s="40">
        <v>25600</v>
      </c>
      <c r="F24" s="40"/>
      <c r="G24" s="40"/>
      <c r="H24" s="40"/>
      <c r="I24" s="40"/>
      <c r="J24" s="36">
        <f t="shared" si="1"/>
        <v>4.0984374999999997E-3</v>
      </c>
      <c r="K24" s="40">
        <v>7.77</v>
      </c>
      <c r="L24" s="40"/>
      <c r="M24" s="40"/>
      <c r="N24" s="41">
        <v>34805.800000000003</v>
      </c>
      <c r="O24" s="138">
        <f t="shared" si="0"/>
        <v>7.0999999999985448</v>
      </c>
      <c r="P24" s="40"/>
      <c r="Q24" s="82">
        <f t="shared" si="2"/>
        <v>0</v>
      </c>
    </row>
    <row r="25" spans="2:17" ht="15.6">
      <c r="B25" s="85">
        <v>46226</v>
      </c>
      <c r="C25" s="71">
        <f>'Físico-químico'!Z25*('Físico-químico'!AA25)*1/3/1000</f>
        <v>62.903333333333336</v>
      </c>
      <c r="D25" s="40">
        <v>950</v>
      </c>
      <c r="E25" s="40">
        <v>14700</v>
      </c>
      <c r="F25" s="40"/>
      <c r="G25" s="40"/>
      <c r="H25" s="40"/>
      <c r="I25" s="40"/>
      <c r="J25" s="36">
        <f t="shared" si="1"/>
        <v>4.2791383219954651E-3</v>
      </c>
      <c r="K25" s="40">
        <v>7.77</v>
      </c>
      <c r="L25" s="40"/>
      <c r="M25" s="40"/>
      <c r="N25" s="41">
        <v>34812.9</v>
      </c>
      <c r="O25" s="138">
        <f t="shared" si="0"/>
        <v>7.2999999999956344</v>
      </c>
      <c r="P25" s="40"/>
      <c r="Q25" s="82">
        <f t="shared" si="2"/>
        <v>0</v>
      </c>
    </row>
    <row r="26" spans="2:17" ht="15.6">
      <c r="B26" s="85">
        <v>46227</v>
      </c>
      <c r="C26" s="71">
        <f>'Físico-químico'!Z26*('Físico-químico'!AA26)*1/3/1000</f>
        <v>374.13333333333333</v>
      </c>
      <c r="D26" s="40">
        <v>950</v>
      </c>
      <c r="E26" s="40">
        <v>15500</v>
      </c>
      <c r="F26" s="40">
        <v>21500</v>
      </c>
      <c r="G26" s="40">
        <v>1.5</v>
      </c>
      <c r="H26" s="40">
        <v>70</v>
      </c>
      <c r="I26" s="90">
        <f>(1000*E26)/(H26*F26)</f>
        <v>10.299003322259136</v>
      </c>
      <c r="J26" s="36">
        <f t="shared" si="1"/>
        <v>2.413763440860215E-2</v>
      </c>
      <c r="K26" s="40">
        <v>7.86</v>
      </c>
      <c r="L26" s="40"/>
      <c r="M26" s="40"/>
      <c r="N26" s="41">
        <v>34820.199999999997</v>
      </c>
      <c r="O26" s="138">
        <f t="shared" si="0"/>
        <v>0</v>
      </c>
      <c r="P26" s="40"/>
      <c r="Q26" s="82">
        <f t="shared" si="2"/>
        <v>0</v>
      </c>
    </row>
    <row r="27" spans="2:17" ht="15.6">
      <c r="B27" s="89">
        <v>46228</v>
      </c>
      <c r="C27" s="71">
        <f>'Físico-químico'!Z27*('Físico-químico'!AA27)*1/3/1000</f>
        <v>0</v>
      </c>
      <c r="D27" s="40"/>
      <c r="E27" s="40"/>
      <c r="F27" s="40"/>
      <c r="G27" s="40"/>
      <c r="H27" s="40"/>
      <c r="I27" s="40"/>
      <c r="J27" s="36" t="e">
        <f t="shared" si="1"/>
        <v>#DIV/0!</v>
      </c>
      <c r="K27" s="40"/>
      <c r="L27" s="40"/>
      <c r="M27" s="40"/>
      <c r="N27" s="41"/>
      <c r="O27" s="138">
        <f t="shared" si="0"/>
        <v>0</v>
      </c>
      <c r="P27" s="40"/>
      <c r="Q27" s="82">
        <f t="shared" si="2"/>
        <v>0</v>
      </c>
    </row>
    <row r="28" spans="2:17" ht="15.6">
      <c r="B28" s="89">
        <v>46229</v>
      </c>
      <c r="C28" s="71">
        <f>'Físico-químico'!Z28*('Físico-químico'!AA28)*1/3/1000</f>
        <v>0</v>
      </c>
      <c r="D28" s="40"/>
      <c r="E28" s="40"/>
      <c r="F28" s="40"/>
      <c r="G28" s="40"/>
      <c r="H28" s="40"/>
      <c r="I28" s="40"/>
      <c r="J28" s="36" t="e">
        <f t="shared" si="1"/>
        <v>#DIV/0!</v>
      </c>
      <c r="K28" s="40"/>
      <c r="L28" s="40"/>
      <c r="M28" s="40"/>
      <c r="N28" s="41"/>
      <c r="O28" s="138">
        <f t="shared" si="0"/>
        <v>0</v>
      </c>
      <c r="P28" s="40"/>
      <c r="Q28" s="82">
        <f t="shared" si="2"/>
        <v>0</v>
      </c>
    </row>
    <row r="29" spans="2:17" ht="15.6">
      <c r="B29" s="85">
        <v>46230</v>
      </c>
      <c r="C29" s="71">
        <f>'Físico-químico'!Z29*('Físico-químico'!AA29)*1/3/1000</f>
        <v>292.8</v>
      </c>
      <c r="D29" s="40">
        <v>920</v>
      </c>
      <c r="E29" s="40">
        <v>13000</v>
      </c>
      <c r="F29" s="40"/>
      <c r="G29" s="40"/>
      <c r="H29" s="40"/>
      <c r="I29" s="40"/>
      <c r="J29" s="36">
        <f t="shared" si="1"/>
        <v>2.2523076923076923E-2</v>
      </c>
      <c r="K29" s="40">
        <v>7.7</v>
      </c>
      <c r="L29" s="40"/>
      <c r="M29" s="40"/>
      <c r="N29" s="41">
        <v>34857</v>
      </c>
      <c r="O29" s="138">
        <f t="shared" si="0"/>
        <v>8</v>
      </c>
      <c r="P29" s="40"/>
      <c r="Q29" s="82">
        <f t="shared" si="2"/>
        <v>0</v>
      </c>
    </row>
    <row r="30" spans="2:17" ht="15.6">
      <c r="B30" s="85">
        <v>46231</v>
      </c>
      <c r="C30" s="71">
        <f>'Físico-químico'!Z30*('Físico-químico'!AA30)*1/3/1000</f>
        <v>0</v>
      </c>
      <c r="D30" s="40">
        <v>940</v>
      </c>
      <c r="E30" s="40"/>
      <c r="F30" s="40"/>
      <c r="G30" s="40"/>
      <c r="H30" s="40"/>
      <c r="I30" s="40"/>
      <c r="J30" s="36" t="e">
        <f t="shared" si="1"/>
        <v>#DIV/0!</v>
      </c>
      <c r="K30" s="40"/>
      <c r="L30" s="40"/>
      <c r="M30" s="40"/>
      <c r="N30" s="41">
        <v>34865</v>
      </c>
      <c r="O30" s="138">
        <f t="shared" si="0"/>
        <v>0</v>
      </c>
      <c r="P30" s="40"/>
      <c r="Q30" s="82">
        <f t="shared" si="2"/>
        <v>0</v>
      </c>
    </row>
    <row r="31" spans="2:17" ht="15.6">
      <c r="B31" s="85">
        <v>46232</v>
      </c>
      <c r="C31" s="71">
        <f>'Físico-químico'!Z31*('Físico-químico'!AA31)*1/3/1000</f>
        <v>0</v>
      </c>
      <c r="D31" s="40"/>
      <c r="E31" s="40"/>
      <c r="F31" s="40"/>
      <c r="G31" s="40"/>
      <c r="H31" s="40"/>
      <c r="I31" s="40"/>
      <c r="J31" s="36" t="e">
        <f t="shared" si="1"/>
        <v>#DIV/0!</v>
      </c>
      <c r="K31" s="40"/>
      <c r="L31" s="40"/>
      <c r="M31" s="40"/>
      <c r="N31" s="41"/>
      <c r="O31" s="138">
        <f t="shared" si="0"/>
        <v>0</v>
      </c>
      <c r="P31" s="40"/>
      <c r="Q31" s="82">
        <f t="shared" si="2"/>
        <v>0</v>
      </c>
    </row>
    <row r="32" spans="2:17" ht="15.6">
      <c r="B32" s="100">
        <v>46233</v>
      </c>
      <c r="C32" s="101">
        <f>'Físico-químico'!Z32*('Físico-químico'!AA32)*1/3/1000</f>
        <v>0</v>
      </c>
      <c r="D32" s="102"/>
      <c r="E32" s="102"/>
      <c r="F32" s="102"/>
      <c r="G32" s="102"/>
      <c r="H32" s="102"/>
      <c r="I32" s="102"/>
      <c r="J32" s="103" t="e">
        <f t="shared" si="1"/>
        <v>#DIV/0!</v>
      </c>
      <c r="K32" s="102"/>
      <c r="L32" s="102"/>
      <c r="M32" s="102"/>
      <c r="N32" s="104"/>
      <c r="O32" s="138">
        <f t="shared" si="0"/>
        <v>0</v>
      </c>
      <c r="P32" s="102"/>
      <c r="Q32" s="82">
        <f t="shared" si="2"/>
        <v>0</v>
      </c>
    </row>
    <row r="33" spans="2:17" ht="15.6">
      <c r="B33" s="142">
        <v>46234</v>
      </c>
      <c r="C33" s="105">
        <f>'Físico-químico'!Z33*('Físico-químico'!AA33)*1/3/1000</f>
        <v>0</v>
      </c>
      <c r="D33" s="106"/>
      <c r="E33" s="106"/>
      <c r="F33" s="106"/>
      <c r="G33" s="106"/>
      <c r="H33" s="106"/>
      <c r="I33" s="106"/>
      <c r="J33" s="107" t="e">
        <f t="shared" si="1"/>
        <v>#DIV/0!</v>
      </c>
      <c r="K33" s="106"/>
      <c r="L33" s="106"/>
      <c r="M33" s="106"/>
      <c r="N33" s="108"/>
      <c r="O33" s="138">
        <f t="shared" si="0"/>
        <v>0</v>
      </c>
      <c r="P33" s="106"/>
      <c r="Q33" s="82">
        <f t="shared" si="2"/>
        <v>0</v>
      </c>
    </row>
    <row r="34" spans="2:17" ht="15.6">
      <c r="B34" s="143">
        <v>46235</v>
      </c>
      <c r="C34" s="109">
        <f>'Físico-químico'!Z34*('Físico-químico'!AA34)*1/3/1000</f>
        <v>0</v>
      </c>
      <c r="D34" s="110"/>
      <c r="E34" s="110"/>
      <c r="F34" s="110"/>
      <c r="G34" s="110"/>
      <c r="H34" s="110"/>
      <c r="I34" s="110"/>
      <c r="J34" s="111" t="e">
        <f t="shared" ref="J34:J40" si="3">C34/E34</f>
        <v>#DIV/0!</v>
      </c>
      <c r="K34" s="110"/>
      <c r="L34" s="110"/>
      <c r="M34" s="110"/>
      <c r="N34" s="112">
        <v>34925.300000000003</v>
      </c>
      <c r="O34" s="138">
        <f t="shared" si="0"/>
        <v>6.8299999998998828E-2</v>
      </c>
      <c r="P34" s="110"/>
      <c r="Q34" s="82">
        <f t="shared" si="2"/>
        <v>0</v>
      </c>
    </row>
    <row r="35" spans="2:17" ht="15.6">
      <c r="B35" s="143">
        <v>46236</v>
      </c>
      <c r="C35" s="109">
        <f>'Físico-químico'!Z35*('Físico-químico'!AA35)*1/3/1000</f>
        <v>0</v>
      </c>
      <c r="D35" s="110"/>
      <c r="E35" s="110"/>
      <c r="F35" s="110"/>
      <c r="G35" s="110"/>
      <c r="H35" s="110"/>
      <c r="I35" s="110"/>
      <c r="J35" s="111" t="e">
        <f t="shared" si="3"/>
        <v>#DIV/0!</v>
      </c>
      <c r="K35" s="110"/>
      <c r="L35" s="110"/>
      <c r="M35" s="110"/>
      <c r="N35" s="112">
        <v>34925.368300000002</v>
      </c>
      <c r="O35" s="138">
        <f t="shared" si="0"/>
        <v>29.231699999996636</v>
      </c>
      <c r="P35" s="110"/>
      <c r="Q35" s="82">
        <f t="shared" si="2"/>
        <v>0</v>
      </c>
    </row>
    <row r="36" spans="2:17" ht="15.6">
      <c r="B36" s="142">
        <v>46237</v>
      </c>
      <c r="C36" s="109">
        <f>'Físico-químico'!Z36*('Físico-químico'!AA36)*1/3/1000</f>
        <v>65.599999999999994</v>
      </c>
      <c r="D36" s="110">
        <v>860</v>
      </c>
      <c r="E36" s="110">
        <v>16600.000000000004</v>
      </c>
      <c r="F36" s="110"/>
      <c r="G36" s="110"/>
      <c r="H36" s="110"/>
      <c r="I36" s="110"/>
      <c r="J36" s="111">
        <f t="shared" si="3"/>
        <v>3.9518072289156615E-3</v>
      </c>
      <c r="K36" s="110">
        <v>7.95</v>
      </c>
      <c r="L36" s="110"/>
      <c r="M36" s="110"/>
      <c r="N36" s="112">
        <v>34954.6</v>
      </c>
      <c r="O36" s="138">
        <f t="shared" si="0"/>
        <v>15.400000000001455</v>
      </c>
      <c r="P36" s="110"/>
      <c r="Q36" s="82">
        <f t="shared" si="2"/>
        <v>0</v>
      </c>
    </row>
    <row r="37" spans="2:17" ht="15.6">
      <c r="B37" s="142">
        <v>46238</v>
      </c>
      <c r="C37" s="109">
        <f>'Físico-químico'!Z37*('Físico-químico'!AA37)*1/3/1000</f>
        <v>214.93333333333334</v>
      </c>
      <c r="D37" s="110">
        <v>750</v>
      </c>
      <c r="E37" s="110">
        <v>15700.000000000004</v>
      </c>
      <c r="F37" s="110"/>
      <c r="G37" s="110"/>
      <c r="H37" s="110"/>
      <c r="I37" s="110"/>
      <c r="J37" s="111">
        <f t="shared" si="3"/>
        <v>1.3690021231422503E-2</v>
      </c>
      <c r="K37" s="110">
        <v>7.92</v>
      </c>
      <c r="L37" s="110"/>
      <c r="M37" s="110"/>
      <c r="N37" s="112">
        <v>34970</v>
      </c>
      <c r="O37" s="138">
        <f t="shared" si="0"/>
        <v>12.30000000000291</v>
      </c>
      <c r="P37" s="110"/>
      <c r="Q37" s="82">
        <f t="shared" si="2"/>
        <v>0</v>
      </c>
    </row>
    <row r="38" spans="2:17" ht="15.6">
      <c r="B38" s="142">
        <v>46239</v>
      </c>
      <c r="C38" s="109">
        <f>'Físico-químico'!Z38*('Físico-químico'!AA38)*1/3/1000</f>
        <v>254.1</v>
      </c>
      <c r="D38" s="110">
        <v>910</v>
      </c>
      <c r="E38" s="110">
        <v>17200</v>
      </c>
      <c r="F38" s="110"/>
      <c r="G38" s="110"/>
      <c r="H38" s="110"/>
      <c r="I38" s="110"/>
      <c r="J38" s="111">
        <f t="shared" si="3"/>
        <v>1.4773255813953489E-2</v>
      </c>
      <c r="K38" s="110">
        <v>7.66</v>
      </c>
      <c r="L38" s="110"/>
      <c r="M38" s="110"/>
      <c r="N38" s="112">
        <v>34982.300000000003</v>
      </c>
      <c r="O38" s="138">
        <f t="shared" si="0"/>
        <v>10.19999999999709</v>
      </c>
      <c r="P38" s="110"/>
      <c r="Q38" s="82">
        <f t="shared" si="2"/>
        <v>0</v>
      </c>
    </row>
    <row r="39" spans="2:17" ht="15.6">
      <c r="B39" s="142">
        <v>46240</v>
      </c>
      <c r="C39" s="109">
        <f>'Físico-químico'!Z39*('Físico-químico'!AA39)*1/3/1000</f>
        <v>134.05000000000001</v>
      </c>
      <c r="D39" s="110">
        <v>910</v>
      </c>
      <c r="E39" s="110">
        <v>24300</v>
      </c>
      <c r="F39" s="110"/>
      <c r="G39" s="110"/>
      <c r="H39" s="110"/>
      <c r="I39" s="110"/>
      <c r="J39" s="111">
        <f t="shared" si="3"/>
        <v>5.5164609053497951E-3</v>
      </c>
      <c r="K39" s="110">
        <v>7.86</v>
      </c>
      <c r="L39" s="110"/>
      <c r="M39" s="110"/>
      <c r="N39" s="112">
        <v>34992.5</v>
      </c>
      <c r="O39" s="138">
        <f t="shared" si="0"/>
        <v>11.5</v>
      </c>
      <c r="P39" s="110"/>
      <c r="Q39" s="82">
        <f t="shared" si="2"/>
        <v>0</v>
      </c>
    </row>
    <row r="40" spans="2:17" ht="15.6">
      <c r="B40" s="142">
        <v>46241</v>
      </c>
      <c r="C40" s="109">
        <f>'Físico-químico'!Z40*('Físico-químico'!AA40)*1/3/1000</f>
        <v>0</v>
      </c>
      <c r="D40" s="110">
        <v>920</v>
      </c>
      <c r="E40" s="110">
        <v>24301</v>
      </c>
      <c r="F40" s="110"/>
      <c r="G40" s="110"/>
      <c r="H40" s="110"/>
      <c r="I40" s="110"/>
      <c r="J40" s="111">
        <f t="shared" si="3"/>
        <v>0</v>
      </c>
      <c r="K40" s="110">
        <v>7.98</v>
      </c>
      <c r="L40" s="110"/>
      <c r="M40" s="110"/>
      <c r="N40" s="112">
        <v>35004</v>
      </c>
      <c r="O40" s="138">
        <f t="shared" si="0"/>
        <v>0</v>
      </c>
      <c r="P40" s="110"/>
      <c r="Q40" s="82">
        <f t="shared" si="2"/>
        <v>0</v>
      </c>
    </row>
    <row r="41" spans="2:17" ht="15.6">
      <c r="B41" s="143">
        <v>46242</v>
      </c>
      <c r="C41" s="109"/>
      <c r="D41" s="110"/>
      <c r="E41" s="110"/>
      <c r="F41" s="110"/>
      <c r="G41" s="110"/>
      <c r="H41" s="110"/>
      <c r="I41" s="110"/>
      <c r="J41" s="111"/>
      <c r="K41" s="110"/>
      <c r="L41" s="110"/>
      <c r="M41" s="110"/>
      <c r="N41" s="112"/>
      <c r="O41" s="138">
        <f t="shared" si="0"/>
        <v>0</v>
      </c>
      <c r="P41" s="110"/>
      <c r="Q41" s="82">
        <f t="shared" si="2"/>
        <v>0</v>
      </c>
    </row>
    <row r="42" spans="2:17" ht="15.6">
      <c r="B42" s="143">
        <v>46243</v>
      </c>
      <c r="C42" s="109"/>
      <c r="D42" s="110"/>
      <c r="E42" s="110"/>
      <c r="F42" s="110"/>
      <c r="G42" s="110"/>
      <c r="H42" s="110"/>
      <c r="I42" s="110"/>
      <c r="J42" s="111"/>
      <c r="K42" s="110"/>
      <c r="L42" s="110"/>
      <c r="M42" s="110"/>
      <c r="N42" s="112"/>
      <c r="O42" s="138">
        <f t="shared" si="0"/>
        <v>0</v>
      </c>
      <c r="P42" s="110"/>
      <c r="Q42" s="82">
        <f t="shared" si="2"/>
        <v>0</v>
      </c>
    </row>
    <row r="43" spans="2:17" ht="15.6">
      <c r="B43" s="142">
        <v>46244</v>
      </c>
      <c r="C43" s="109"/>
      <c r="D43" s="110"/>
      <c r="E43" s="110"/>
      <c r="F43" s="110"/>
      <c r="G43" s="110"/>
      <c r="H43" s="110"/>
      <c r="I43" s="110"/>
      <c r="J43" s="111"/>
      <c r="K43" s="110"/>
      <c r="L43" s="110"/>
      <c r="M43" s="110"/>
      <c r="N43" s="112"/>
      <c r="O43" s="138">
        <f t="shared" si="0"/>
        <v>0</v>
      </c>
      <c r="P43" s="110"/>
      <c r="Q43" s="82">
        <f t="shared" si="2"/>
        <v>0</v>
      </c>
    </row>
    <row r="44" spans="2:17" ht="15.6">
      <c r="B44" s="142">
        <v>46245</v>
      </c>
      <c r="C44" s="109"/>
      <c r="D44" s="110"/>
      <c r="E44" s="110"/>
      <c r="F44" s="110"/>
      <c r="G44" s="110"/>
      <c r="H44" s="110"/>
      <c r="I44" s="110"/>
      <c r="J44" s="111"/>
      <c r="K44" s="110"/>
      <c r="L44" s="110"/>
      <c r="M44" s="110"/>
      <c r="N44" s="112"/>
      <c r="O44" s="138">
        <f t="shared" si="0"/>
        <v>0</v>
      </c>
      <c r="P44" s="110"/>
      <c r="Q44" s="82">
        <f t="shared" si="2"/>
        <v>0</v>
      </c>
    </row>
    <row r="45" spans="2:17" ht="15.6">
      <c r="B45" s="142">
        <v>46246</v>
      </c>
      <c r="C45" s="109"/>
      <c r="D45" s="110"/>
      <c r="E45" s="110"/>
      <c r="F45" s="110"/>
      <c r="G45" s="110"/>
      <c r="H45" s="110"/>
      <c r="I45" s="110"/>
      <c r="J45" s="111"/>
      <c r="K45" s="110"/>
      <c r="L45" s="110"/>
      <c r="M45" s="110"/>
      <c r="N45" s="112"/>
      <c r="O45" s="138">
        <f t="shared" si="0"/>
        <v>0</v>
      </c>
      <c r="P45" s="110"/>
      <c r="Q45" s="82">
        <f t="shared" si="2"/>
        <v>0</v>
      </c>
    </row>
    <row r="46" spans="2:17" ht="15.6">
      <c r="B46" s="142">
        <v>46247</v>
      </c>
      <c r="C46" s="109"/>
      <c r="D46" s="110"/>
      <c r="E46" s="110"/>
      <c r="F46" s="110"/>
      <c r="G46" s="110"/>
      <c r="H46" s="110"/>
      <c r="I46" s="110"/>
      <c r="J46" s="111"/>
      <c r="K46" s="110"/>
      <c r="L46" s="110"/>
      <c r="M46" s="110"/>
      <c r="N46" s="112"/>
      <c r="O46" s="138">
        <f t="shared" si="0"/>
        <v>0</v>
      </c>
      <c r="P46" s="110"/>
      <c r="Q46" s="82">
        <f t="shared" si="2"/>
        <v>0</v>
      </c>
    </row>
    <row r="47" spans="2:17" ht="15.6">
      <c r="B47" s="142">
        <v>46248</v>
      </c>
      <c r="C47" s="109"/>
      <c r="D47" s="110"/>
      <c r="E47" s="110"/>
      <c r="F47" s="110"/>
      <c r="G47" s="110"/>
      <c r="H47" s="110"/>
      <c r="I47" s="110"/>
      <c r="J47" s="111"/>
      <c r="K47" s="110"/>
      <c r="L47" s="110"/>
      <c r="M47" s="110"/>
      <c r="N47" s="112"/>
      <c r="O47" s="138">
        <f t="shared" si="0"/>
        <v>0</v>
      </c>
      <c r="P47" s="110"/>
      <c r="Q47" s="82">
        <f t="shared" si="2"/>
        <v>0</v>
      </c>
    </row>
    <row r="48" spans="2:17" ht="15.6">
      <c r="B48" s="143">
        <v>46249</v>
      </c>
      <c r="C48" s="109"/>
      <c r="D48" s="110"/>
      <c r="E48" s="110"/>
      <c r="F48" s="110"/>
      <c r="G48" s="110"/>
      <c r="H48" s="110"/>
      <c r="I48" s="110"/>
      <c r="J48" s="111"/>
      <c r="K48" s="110"/>
      <c r="L48" s="110"/>
      <c r="M48" s="110"/>
      <c r="N48" s="112">
        <v>35097.199999999997</v>
      </c>
      <c r="O48" s="138">
        <f t="shared" si="0"/>
        <v>0</v>
      </c>
      <c r="P48" s="110"/>
      <c r="Q48" s="82">
        <f t="shared" si="2"/>
        <v>0</v>
      </c>
    </row>
    <row r="49" spans="2:20" ht="15.6">
      <c r="B49" s="143">
        <v>46250</v>
      </c>
      <c r="C49" s="109"/>
      <c r="D49" s="110"/>
      <c r="E49" s="110"/>
      <c r="F49" s="110"/>
      <c r="G49" s="110"/>
      <c r="H49" s="110"/>
      <c r="I49" s="110"/>
      <c r="J49" s="111"/>
      <c r="K49" s="110"/>
      <c r="L49" s="110"/>
      <c r="M49" s="110"/>
      <c r="N49" s="112"/>
      <c r="O49" s="138">
        <f t="shared" si="0"/>
        <v>0</v>
      </c>
      <c r="P49" s="110"/>
      <c r="Q49" s="82">
        <f t="shared" si="2"/>
        <v>0</v>
      </c>
    </row>
    <row r="50" spans="2:20" ht="15.6">
      <c r="B50" s="142">
        <v>46251</v>
      </c>
      <c r="C50" s="109"/>
      <c r="D50" s="110">
        <v>810</v>
      </c>
      <c r="E50" s="110">
        <v>17099.999999999996</v>
      </c>
      <c r="F50" s="110"/>
      <c r="G50" s="110"/>
      <c r="H50" s="110"/>
      <c r="I50" s="110"/>
      <c r="J50" s="111"/>
      <c r="K50" s="110">
        <v>7.98</v>
      </c>
      <c r="L50" s="110"/>
      <c r="M50" s="110"/>
      <c r="N50" s="112">
        <v>35126.199999999997</v>
      </c>
      <c r="O50" s="138">
        <f t="shared" si="0"/>
        <v>9.6000000000058208</v>
      </c>
      <c r="P50" s="110"/>
      <c r="Q50" s="82">
        <f t="shared" si="2"/>
        <v>0</v>
      </c>
      <c r="R50" s="29"/>
      <c r="T50" s="29"/>
    </row>
    <row r="51" spans="2:20" ht="15.6">
      <c r="B51" s="142">
        <v>46252</v>
      </c>
      <c r="C51" s="109"/>
      <c r="D51" s="110">
        <v>910</v>
      </c>
      <c r="E51" s="110">
        <v>14200.000000000004</v>
      </c>
      <c r="F51" s="110"/>
      <c r="G51" s="110"/>
      <c r="H51" s="110"/>
      <c r="I51" s="110"/>
      <c r="J51" s="111"/>
      <c r="K51" s="110">
        <v>7.88</v>
      </c>
      <c r="L51" s="110"/>
      <c r="M51" s="110"/>
      <c r="N51" s="112">
        <v>35135.800000000003</v>
      </c>
      <c r="O51" s="138">
        <f t="shared" si="0"/>
        <v>6.3999999999941792</v>
      </c>
      <c r="P51" s="110"/>
      <c r="Q51" s="82">
        <f t="shared" si="2"/>
        <v>0</v>
      </c>
    </row>
    <row r="52" spans="2:20" ht="15.6">
      <c r="B52" s="142">
        <v>46253</v>
      </c>
      <c r="C52" s="109"/>
      <c r="D52" s="110">
        <v>910</v>
      </c>
      <c r="E52" s="110">
        <v>15400.000000000004</v>
      </c>
      <c r="F52" s="110"/>
      <c r="G52" s="110"/>
      <c r="H52" s="110"/>
      <c r="I52" s="110"/>
      <c r="J52" s="111"/>
      <c r="K52" s="110">
        <v>7.77</v>
      </c>
      <c r="L52" s="110"/>
      <c r="M52" s="110"/>
      <c r="N52" s="112">
        <v>35142.199999999997</v>
      </c>
      <c r="O52" s="138">
        <f t="shared" si="0"/>
        <v>6.3000000000029104</v>
      </c>
      <c r="P52" s="110"/>
      <c r="Q52" s="82">
        <f t="shared" si="2"/>
        <v>0</v>
      </c>
    </row>
    <row r="53" spans="2:20" ht="15.6">
      <c r="B53" s="142">
        <v>46254</v>
      </c>
      <c r="C53" s="109"/>
      <c r="D53" s="110">
        <v>900</v>
      </c>
      <c r="E53" s="110">
        <v>23000.000000000004</v>
      </c>
      <c r="F53" s="110"/>
      <c r="G53" s="110"/>
      <c r="H53" s="110"/>
      <c r="I53" s="110"/>
      <c r="J53" s="111"/>
      <c r="K53" s="110">
        <v>7.6</v>
      </c>
      <c r="L53" s="110"/>
      <c r="M53" s="110"/>
      <c r="N53" s="112">
        <v>35148.5</v>
      </c>
      <c r="O53" s="138">
        <f t="shared" si="0"/>
        <v>7.5999999999985448</v>
      </c>
      <c r="P53" s="110"/>
      <c r="Q53" s="82">
        <f t="shared" si="2"/>
        <v>0</v>
      </c>
    </row>
    <row r="54" spans="2:20" ht="15.6">
      <c r="B54" s="142">
        <v>46255</v>
      </c>
      <c r="C54" s="109"/>
      <c r="D54" s="110">
        <v>920</v>
      </c>
      <c r="E54" s="110">
        <v>14900.000000000004</v>
      </c>
      <c r="F54" s="110"/>
      <c r="G54" s="110"/>
      <c r="H54" s="110"/>
      <c r="I54" s="110"/>
      <c r="J54" s="111"/>
      <c r="K54" s="110">
        <v>7.75</v>
      </c>
      <c r="L54" s="110"/>
      <c r="M54" s="110"/>
      <c r="N54" s="112">
        <v>35156.1</v>
      </c>
      <c r="O54" s="138">
        <f t="shared" si="0"/>
        <v>0</v>
      </c>
      <c r="P54" s="110"/>
      <c r="Q54" s="82">
        <f t="shared" si="2"/>
        <v>0</v>
      </c>
    </row>
  </sheetData>
  <mergeCells count="1">
    <mergeCell ref="B1:Q1"/>
  </mergeCells>
  <pageMargins left="0.7" right="0.7" top="0.75" bottom="0.75" header="0.3" footer="0.3"/>
  <pageSetup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1DF41-68C7-4DBB-B3AA-F50B37CC4030}">
  <sheetPr>
    <pageSetUpPr fitToPage="1"/>
  </sheetPr>
  <dimension ref="B1:P33"/>
  <sheetViews>
    <sheetView workbookViewId="0">
      <selection activeCell="B3" sqref="B3:B5"/>
    </sheetView>
  </sheetViews>
  <sheetFormatPr defaultColWidth="10.85546875" defaultRowHeight="14.45"/>
  <cols>
    <col min="1" max="1" width="3.5703125" style="1" customWidth="1"/>
    <col min="2" max="2" width="10.85546875" style="1"/>
    <col min="3" max="3" width="18.28515625" style="1" customWidth="1"/>
    <col min="4" max="4" width="23.7109375" style="1" customWidth="1"/>
    <col min="5" max="5" width="13.5703125" style="1" customWidth="1"/>
    <col min="6" max="6" width="12.140625" style="1" customWidth="1"/>
    <col min="7" max="7" width="13.140625" style="1" customWidth="1"/>
    <col min="8" max="8" width="10.85546875" style="1"/>
    <col min="9" max="9" width="16.140625" style="1" bestFit="1" customWidth="1"/>
    <col min="10" max="10" width="12.140625" style="1" customWidth="1"/>
    <col min="11" max="11" width="10.85546875" style="1"/>
    <col min="12" max="12" width="14" style="1" customWidth="1"/>
    <col min="13" max="13" width="13.7109375" style="1" customWidth="1"/>
    <col min="14" max="14" width="15.42578125" style="1" customWidth="1"/>
    <col min="15" max="16384" width="10.85546875" style="1"/>
  </cols>
  <sheetData>
    <row r="1" spans="2:16" ht="15" thickBot="1">
      <c r="B1" s="180" t="s">
        <v>45</v>
      </c>
      <c r="C1" s="181"/>
      <c r="D1" s="181"/>
      <c r="E1" s="181"/>
      <c r="F1" s="181"/>
      <c r="G1" s="181"/>
      <c r="H1" s="181"/>
      <c r="I1" s="181" t="s">
        <v>45</v>
      </c>
      <c r="J1" s="181"/>
      <c r="K1" s="181"/>
      <c r="L1" s="181"/>
      <c r="M1" s="181"/>
      <c r="N1" s="181"/>
      <c r="O1" s="182"/>
    </row>
    <row r="2" spans="2:16" ht="43.5">
      <c r="B2" s="11" t="s">
        <v>42</v>
      </c>
      <c r="C2" s="12" t="s">
        <v>46</v>
      </c>
      <c r="D2" s="12" t="s">
        <v>47</v>
      </c>
      <c r="E2" s="12" t="s">
        <v>48</v>
      </c>
      <c r="F2" s="12" t="s">
        <v>49</v>
      </c>
      <c r="G2" s="12" t="s">
        <v>50</v>
      </c>
      <c r="H2" s="12" t="s">
        <v>51</v>
      </c>
      <c r="I2" s="12" t="s">
        <v>52</v>
      </c>
      <c r="J2" s="12" t="s">
        <v>53</v>
      </c>
      <c r="K2" s="12" t="s">
        <v>31</v>
      </c>
      <c r="L2" s="12" t="s">
        <v>54</v>
      </c>
      <c r="M2" s="12" t="s">
        <v>55</v>
      </c>
      <c r="N2" s="12" t="s">
        <v>56</v>
      </c>
      <c r="O2" s="13" t="s">
        <v>25</v>
      </c>
      <c r="P2" s="4"/>
    </row>
    <row r="3" spans="2:16">
      <c r="B3" s="24">
        <v>46204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17"/>
    </row>
    <row r="4" spans="2:16">
      <c r="B4" s="24">
        <v>46205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7"/>
    </row>
    <row r="5" spans="2:16">
      <c r="B5" s="24">
        <v>46206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17"/>
    </row>
    <row r="6" spans="2:16">
      <c r="B6" s="24">
        <v>46207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17"/>
    </row>
    <row r="7" spans="2:16">
      <c r="B7" s="24">
        <v>46208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17"/>
    </row>
    <row r="8" spans="2:16">
      <c r="B8" s="24">
        <v>46209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17"/>
    </row>
    <row r="9" spans="2:16">
      <c r="B9" s="24">
        <v>46210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17"/>
    </row>
    <row r="10" spans="2:16">
      <c r="B10" s="24">
        <v>46211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17"/>
    </row>
    <row r="11" spans="2:16">
      <c r="B11" s="24">
        <v>46212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17"/>
    </row>
    <row r="12" spans="2:16">
      <c r="B12" s="24">
        <v>46213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17"/>
    </row>
    <row r="13" spans="2:16">
      <c r="B13" s="24">
        <v>46214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17"/>
    </row>
    <row r="14" spans="2:16">
      <c r="B14" s="24">
        <v>46215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17"/>
    </row>
    <row r="15" spans="2:16">
      <c r="B15" s="24">
        <v>46216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17"/>
    </row>
    <row r="16" spans="2:16">
      <c r="B16" s="24">
        <v>46217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17"/>
    </row>
    <row r="17" spans="2:15">
      <c r="B17" s="24">
        <v>46218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17"/>
    </row>
    <row r="18" spans="2:15">
      <c r="B18" s="24">
        <v>46219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17"/>
    </row>
    <row r="19" spans="2:15">
      <c r="B19" s="24">
        <v>46220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17"/>
    </row>
    <row r="20" spans="2:15">
      <c r="B20" s="24">
        <v>46221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17"/>
    </row>
    <row r="21" spans="2:15">
      <c r="B21" s="24">
        <v>46222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17"/>
    </row>
    <row r="22" spans="2:15">
      <c r="B22" s="24">
        <v>46223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17"/>
    </row>
    <row r="23" spans="2:15">
      <c r="B23" s="24">
        <v>46224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17"/>
    </row>
    <row r="24" spans="2:15">
      <c r="B24" s="24">
        <v>46225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17"/>
    </row>
    <row r="25" spans="2:15">
      <c r="B25" s="24">
        <v>46226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17"/>
    </row>
    <row r="26" spans="2:15">
      <c r="B26" s="24">
        <v>46227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17"/>
    </row>
    <row r="27" spans="2:15">
      <c r="B27" s="24">
        <v>46228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17"/>
    </row>
    <row r="28" spans="2:15">
      <c r="B28" s="24">
        <v>46229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17"/>
    </row>
    <row r="29" spans="2:15">
      <c r="B29" s="24">
        <v>46230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17"/>
    </row>
    <row r="30" spans="2:15">
      <c r="B30" s="24">
        <v>46231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17"/>
    </row>
    <row r="31" spans="2:15">
      <c r="B31" s="24">
        <v>46232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17"/>
    </row>
    <row r="32" spans="2:15">
      <c r="B32" s="24">
        <v>46233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17"/>
    </row>
    <row r="33" spans="2:15" ht="15" thickBot="1">
      <c r="B33" s="24">
        <v>46234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/>
    </row>
  </sheetData>
  <mergeCells count="2">
    <mergeCell ref="B1:H1"/>
    <mergeCell ref="I1:O1"/>
  </mergeCells>
  <pageMargins left="0.7" right="0.7" top="0.75" bottom="0.75" header="0.3" footer="0.3"/>
  <pageSetup scale="9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2B802-71BE-4E85-995F-161E44BEC275}">
  <sheetPr>
    <pageSetUpPr fitToPage="1"/>
  </sheetPr>
  <dimension ref="A1:S33"/>
  <sheetViews>
    <sheetView topLeftCell="J1" workbookViewId="0">
      <selection activeCell="U5" sqref="U5"/>
    </sheetView>
  </sheetViews>
  <sheetFormatPr defaultColWidth="11.42578125" defaultRowHeight="14.45"/>
  <cols>
    <col min="1" max="1" width="3.5703125" style="2" customWidth="1"/>
    <col min="2" max="2" width="11.42578125" style="8"/>
    <col min="3" max="3" width="18.28515625" style="8" customWidth="1"/>
    <col min="4" max="4" width="23.7109375" style="8" customWidth="1"/>
    <col min="5" max="5" width="13.5703125" style="8" customWidth="1"/>
    <col min="6" max="6" width="12.140625" style="8" customWidth="1"/>
    <col min="7" max="7" width="13.140625" style="8" customWidth="1"/>
    <col min="8" max="8" width="13.5703125" style="8" customWidth="1"/>
    <col min="9" max="9" width="16.42578125" style="8" customWidth="1"/>
    <col min="10" max="10" width="16.140625" style="8" bestFit="1" customWidth="1"/>
    <col min="11" max="11" width="14" style="8" customWidth="1"/>
    <col min="12" max="12" width="13.7109375" style="8" customWidth="1"/>
    <col min="13" max="13" width="14.28515625" style="8" customWidth="1"/>
    <col min="14" max="14" width="11.85546875" style="8" customWidth="1"/>
    <col min="15" max="15" width="11.42578125" style="8"/>
    <col min="16" max="16" width="17.140625" style="8" customWidth="1"/>
    <col min="17" max="17" width="12.28515625" style="8" customWidth="1"/>
    <col min="18" max="16384" width="11.42578125" style="8"/>
  </cols>
  <sheetData>
    <row r="1" spans="2:19">
      <c r="B1" s="183" t="s">
        <v>59</v>
      </c>
      <c r="C1" s="184"/>
      <c r="D1" s="184"/>
      <c r="E1" s="184"/>
      <c r="F1" s="184"/>
      <c r="G1" s="184"/>
      <c r="H1" s="184"/>
      <c r="I1" s="184"/>
      <c r="J1" s="184"/>
      <c r="K1" s="184" t="s">
        <v>59</v>
      </c>
      <c r="L1" s="184"/>
      <c r="M1" s="184"/>
      <c r="N1" s="184"/>
      <c r="O1" s="184"/>
      <c r="P1" s="184"/>
      <c r="Q1" s="184"/>
      <c r="R1" s="184"/>
      <c r="S1" s="184"/>
    </row>
    <row r="2" spans="2:19" ht="57.95">
      <c r="B2" s="9" t="s">
        <v>60</v>
      </c>
      <c r="C2" s="9" t="s">
        <v>61</v>
      </c>
      <c r="D2" s="9" t="s">
        <v>62</v>
      </c>
      <c r="E2" s="9" t="s">
        <v>63</v>
      </c>
      <c r="F2" s="9" t="s">
        <v>64</v>
      </c>
      <c r="G2" s="9" t="s">
        <v>65</v>
      </c>
      <c r="H2" s="9" t="s">
        <v>66</v>
      </c>
      <c r="I2" s="9" t="s">
        <v>67</v>
      </c>
      <c r="J2" s="9" t="s">
        <v>68</v>
      </c>
      <c r="K2" s="9" t="s">
        <v>69</v>
      </c>
      <c r="L2" s="9" t="s">
        <v>55</v>
      </c>
      <c r="M2" s="9" t="s">
        <v>70</v>
      </c>
      <c r="N2" s="9" t="s">
        <v>71</v>
      </c>
      <c r="O2" s="9" t="s">
        <v>72</v>
      </c>
      <c r="P2" s="9" t="s">
        <v>73</v>
      </c>
      <c r="Q2" s="9" t="s">
        <v>74</v>
      </c>
      <c r="R2" s="9" t="s">
        <v>75</v>
      </c>
      <c r="S2" s="9" t="s">
        <v>76</v>
      </c>
    </row>
    <row r="3" spans="2:19">
      <c r="B3" s="10">
        <v>1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2:19">
      <c r="B4" s="10">
        <v>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2:19">
      <c r="B5" s="10">
        <v>3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2:19">
      <c r="B6" s="10">
        <v>4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2:19">
      <c r="B7" s="10">
        <v>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2:19">
      <c r="B8" s="10">
        <v>6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2:19">
      <c r="B9" s="10">
        <v>7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2:19">
      <c r="B10" s="10">
        <v>8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spans="2:19">
      <c r="B11" s="10">
        <v>9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spans="2:19">
      <c r="B12" s="10">
        <v>10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spans="2:19">
      <c r="B13" s="10">
        <v>11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spans="2:19">
      <c r="B14" s="10">
        <v>12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spans="2:19">
      <c r="B15" s="10">
        <v>13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spans="2:19">
      <c r="B16" s="10">
        <v>14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spans="2:19">
      <c r="B17" s="10">
        <v>15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spans="2:19">
      <c r="B18" s="10">
        <v>16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spans="2:19">
      <c r="B19" s="10">
        <v>17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spans="2:19">
      <c r="B20" s="10">
        <v>18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spans="2:19">
      <c r="B21" s="10">
        <v>19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spans="2:19">
      <c r="B22" s="10">
        <v>20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spans="2:19">
      <c r="B23" s="10">
        <v>21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2:19">
      <c r="B24" s="10">
        <v>22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2:19">
      <c r="B25" s="10">
        <v>23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2:19">
      <c r="B26" s="10">
        <v>24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2:19">
      <c r="B27" s="10">
        <v>25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2:19">
      <c r="B28" s="10">
        <v>26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2:19">
      <c r="B29" s="10">
        <v>27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spans="2:19">
      <c r="B30" s="10">
        <v>28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2:19">
      <c r="B31" s="10">
        <v>29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2:19">
      <c r="B32" s="10">
        <v>30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2:19">
      <c r="B33" s="10">
        <v>31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</sheetData>
  <mergeCells count="2">
    <mergeCell ref="B1:J1"/>
    <mergeCell ref="K1:S1"/>
  </mergeCells>
  <pageMargins left="0.7" right="0.7" top="0.75" bottom="0.75" header="0.3" footer="0.3"/>
  <pageSetup scale="97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650DC-8DC1-40C2-A707-666E4FFEEDEA}">
  <dimension ref="A1:U54"/>
  <sheetViews>
    <sheetView topLeftCell="A35" workbookViewId="0">
      <pane xSplit="2" topLeftCell="C43" activePane="topRight" state="frozen"/>
      <selection pane="topRight" activeCell="V7" sqref="V7"/>
    </sheetView>
  </sheetViews>
  <sheetFormatPr defaultColWidth="11.42578125" defaultRowHeight="15" customHeight="1"/>
  <cols>
    <col min="1" max="1" width="3.5703125" style="2" customWidth="1"/>
    <col min="2" max="2" width="11.42578125" style="31"/>
    <col min="3" max="3" width="18.28515625" style="8" customWidth="1"/>
    <col min="4" max="4" width="13.5703125" style="8" customWidth="1"/>
    <col min="5" max="5" width="23.7109375" style="8" customWidth="1"/>
    <col min="6" max="6" width="16.42578125" style="8" customWidth="1"/>
    <col min="7" max="7" width="10.28515625" style="8" customWidth="1"/>
    <col min="8" max="8" width="16.140625" style="8" bestFit="1" customWidth="1"/>
    <col min="9" max="9" width="8.5703125" style="8" bestFit="1" customWidth="1"/>
    <col min="10" max="10" width="14" style="8" customWidth="1"/>
    <col min="11" max="11" width="14.28515625" style="8" customWidth="1"/>
    <col min="12" max="12" width="11.85546875" style="8" customWidth="1"/>
    <col min="13" max="13" width="11.42578125" style="8"/>
    <col min="14" max="14" width="17.140625" style="8" customWidth="1"/>
    <col min="15" max="15" width="10.85546875" style="8" customWidth="1"/>
    <col min="16" max="16" width="12.28515625" style="8" customWidth="1"/>
    <col min="17" max="17" width="11.42578125" style="8"/>
    <col min="18" max="18" width="11.42578125" style="30"/>
    <col min="19" max="19" width="12.28515625" style="34" customWidth="1"/>
    <col min="20" max="16384" width="11.42578125" style="8"/>
  </cols>
  <sheetData>
    <row r="1" spans="2:21" ht="14.45">
      <c r="C1" s="161" t="s">
        <v>59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3"/>
    </row>
    <row r="2" spans="2:21" ht="57.95">
      <c r="B2" s="62" t="s">
        <v>60</v>
      </c>
      <c r="C2" s="63" t="s">
        <v>61</v>
      </c>
      <c r="D2" s="63" t="s">
        <v>63</v>
      </c>
      <c r="E2" s="64" t="s">
        <v>62</v>
      </c>
      <c r="F2" s="63" t="s">
        <v>77</v>
      </c>
      <c r="G2" s="63" t="s">
        <v>78</v>
      </c>
      <c r="H2" s="63" t="s">
        <v>68</v>
      </c>
      <c r="I2" s="63" t="s">
        <v>79</v>
      </c>
      <c r="J2" s="63" t="s">
        <v>69</v>
      </c>
      <c r="K2" s="63" t="s">
        <v>70</v>
      </c>
      <c r="L2" s="63" t="s">
        <v>71</v>
      </c>
      <c r="M2" s="63" t="s">
        <v>72</v>
      </c>
      <c r="N2" s="63" t="s">
        <v>73</v>
      </c>
      <c r="O2" s="63" t="s">
        <v>78</v>
      </c>
      <c r="P2" s="63" t="s">
        <v>74</v>
      </c>
      <c r="Q2" s="63" t="s">
        <v>75</v>
      </c>
      <c r="R2" s="63" t="s">
        <v>80</v>
      </c>
      <c r="S2" s="119" t="s">
        <v>81</v>
      </c>
      <c r="T2" s="144" t="s">
        <v>82</v>
      </c>
    </row>
    <row r="3" spans="2:21">
      <c r="B3" s="65">
        <v>46204</v>
      </c>
      <c r="C3" s="56" t="s">
        <v>34</v>
      </c>
      <c r="D3" s="145">
        <v>5.69</v>
      </c>
      <c r="E3" s="57">
        <v>508</v>
      </c>
      <c r="F3" s="58" t="s">
        <v>34</v>
      </c>
      <c r="G3" s="59">
        <f t="shared" ref="G3:I53" si="0">IF(OR(F2="",F3=""),0,IF(AND(ISNUMBER(F2),ISNUMBER(F3)),F3-F2,0))</f>
        <v>0</v>
      </c>
      <c r="H3" s="58">
        <v>127980.53</v>
      </c>
      <c r="I3" s="138">
        <f t="shared" ref="I3:I54" si="1">IF(OR(H3="",H4=""),0,IF(AND(ISNUMBER(H3),ISNUMBER(H4)),H4-H3,0))</f>
        <v>119.27999999999884</v>
      </c>
      <c r="J3" s="58" t="s">
        <v>34</v>
      </c>
      <c r="K3" s="58" t="s">
        <v>34</v>
      </c>
      <c r="L3" s="58" t="s">
        <v>34</v>
      </c>
      <c r="M3" s="58" t="s">
        <v>34</v>
      </c>
      <c r="N3" s="58" t="s">
        <v>34</v>
      </c>
      <c r="O3" s="59">
        <f t="shared" ref="O3:O33" si="2">IF(N3=0,0,IF(ISNUMBER(N2),N3-N2,0))</f>
        <v>0</v>
      </c>
      <c r="P3" s="58" t="s">
        <v>34</v>
      </c>
      <c r="Q3" s="58" t="s">
        <v>34</v>
      </c>
      <c r="R3" s="60">
        <v>3585228.4</v>
      </c>
      <c r="S3" s="138">
        <f t="shared" ref="S3:S53" si="3">IF(OR(R3="",R4=""),0,IF(AND(ISNUMBER(R3),ISNUMBER(R4)),R4-R3,0))</f>
        <v>1291.7000000001863</v>
      </c>
      <c r="T3" s="146"/>
    </row>
    <row r="4" spans="2:21">
      <c r="B4" s="65">
        <v>46205</v>
      </c>
      <c r="C4" s="58"/>
      <c r="D4" s="58">
        <v>5.91</v>
      </c>
      <c r="E4" s="61">
        <v>462</v>
      </c>
      <c r="F4" s="58"/>
      <c r="G4" s="59">
        <f t="shared" ref="G4" si="4">IF(OR(F3="",F4=""),0,IF(AND(ISNUMBER(F3),ISNUMBER(F4)),F4-F3,0))</f>
        <v>0</v>
      </c>
      <c r="H4" s="58">
        <v>128099.81</v>
      </c>
      <c r="I4" s="138">
        <f t="shared" si="1"/>
        <v>109.01000000000931</v>
      </c>
      <c r="J4" s="58"/>
      <c r="K4" s="58"/>
      <c r="L4" s="58"/>
      <c r="M4" s="58"/>
      <c r="N4" s="58"/>
      <c r="O4" s="59">
        <f t="shared" si="2"/>
        <v>0</v>
      </c>
      <c r="P4" s="58"/>
      <c r="Q4" s="58"/>
      <c r="R4" s="60">
        <v>3586520.1</v>
      </c>
      <c r="S4" s="138">
        <f t="shared" si="3"/>
        <v>1313.7999999998137</v>
      </c>
      <c r="T4" s="146"/>
    </row>
    <row r="5" spans="2:21">
      <c r="B5" s="65">
        <v>46206</v>
      </c>
      <c r="C5" s="58"/>
      <c r="D5" s="58">
        <v>5.67</v>
      </c>
      <c r="E5" s="58">
        <v>552</v>
      </c>
      <c r="F5" s="58"/>
      <c r="G5" s="59">
        <f t="shared" ref="G5" si="5">IF(OR(F4="",F5=""),0,IF(AND(ISNUMBER(F4),ISNUMBER(F5)),F5-F4,0))</f>
        <v>0</v>
      </c>
      <c r="H5" s="58">
        <v>128208.82</v>
      </c>
      <c r="I5" s="138">
        <f t="shared" si="1"/>
        <v>119.73999999999069</v>
      </c>
      <c r="J5" s="58"/>
      <c r="K5" s="58"/>
      <c r="L5" s="58"/>
      <c r="M5" s="58"/>
      <c r="N5" s="58"/>
      <c r="O5" s="59">
        <f t="shared" si="2"/>
        <v>0</v>
      </c>
      <c r="P5" s="58"/>
      <c r="Q5" s="58"/>
      <c r="R5" s="60">
        <v>3587833.9</v>
      </c>
      <c r="S5" s="138">
        <f t="shared" si="3"/>
        <v>1360.1000000000931</v>
      </c>
      <c r="T5" s="146"/>
    </row>
    <row r="6" spans="2:21">
      <c r="B6" s="88">
        <v>46207</v>
      </c>
      <c r="C6" s="58"/>
      <c r="D6" s="58"/>
      <c r="E6" s="58"/>
      <c r="F6" s="58"/>
      <c r="G6" s="59">
        <f t="shared" ref="G6" si="6">IF(OR(F5="",F6=""),0,IF(AND(ISNUMBER(F5),ISNUMBER(F6)),F6-F5,0))</f>
        <v>0</v>
      </c>
      <c r="H6" s="58">
        <v>128328.56</v>
      </c>
      <c r="I6" s="138">
        <f t="shared" si="1"/>
        <v>0</v>
      </c>
      <c r="J6" s="58"/>
      <c r="K6" s="58"/>
      <c r="L6" s="58"/>
      <c r="M6" s="58"/>
      <c r="N6" s="58"/>
      <c r="O6" s="59">
        <f t="shared" si="2"/>
        <v>0</v>
      </c>
      <c r="P6" s="58"/>
      <c r="Q6" s="58"/>
      <c r="R6" s="60">
        <v>3589194</v>
      </c>
      <c r="S6" s="138">
        <f t="shared" si="3"/>
        <v>1192.0499999998137</v>
      </c>
      <c r="T6" s="146"/>
    </row>
    <row r="7" spans="2:21">
      <c r="B7" s="88">
        <v>46208</v>
      </c>
      <c r="C7" s="58"/>
      <c r="D7" s="58"/>
      <c r="E7" s="58"/>
      <c r="F7" s="58"/>
      <c r="G7" s="59">
        <f t="shared" ref="G7" si="7">IF(OR(F6="",F7=""),0,IF(AND(ISNUMBER(F6),ISNUMBER(F7)),F7-F6,0))</f>
        <v>0</v>
      </c>
      <c r="H7" s="58">
        <v>128328.56</v>
      </c>
      <c r="I7" s="138">
        <f t="shared" si="1"/>
        <v>0</v>
      </c>
      <c r="J7" s="58"/>
      <c r="K7" s="58"/>
      <c r="L7" s="58"/>
      <c r="M7" s="58"/>
      <c r="N7" s="58"/>
      <c r="O7" s="59">
        <f t="shared" si="2"/>
        <v>0</v>
      </c>
      <c r="P7" s="58"/>
      <c r="Q7" s="58"/>
      <c r="R7" s="60">
        <v>3590386.05</v>
      </c>
      <c r="S7" s="138">
        <f t="shared" si="3"/>
        <v>1192.1500000003725</v>
      </c>
      <c r="T7" s="146"/>
    </row>
    <row r="8" spans="2:21">
      <c r="B8" s="65">
        <v>46209</v>
      </c>
      <c r="C8" s="58"/>
      <c r="D8" s="58">
        <v>5.81</v>
      </c>
      <c r="E8" s="58">
        <v>283</v>
      </c>
      <c r="F8" s="58"/>
      <c r="G8" s="59">
        <f t="shared" ref="G8" si="8">IF(OR(F7="",F8=""),0,IF(AND(ISNUMBER(F7),ISNUMBER(F8)),F8-F7,0))</f>
        <v>0</v>
      </c>
      <c r="H8" s="58">
        <v>128328.56</v>
      </c>
      <c r="I8" s="138">
        <f t="shared" si="1"/>
        <v>150.43000000000757</v>
      </c>
      <c r="J8" s="58"/>
      <c r="K8" s="58"/>
      <c r="L8" s="58"/>
      <c r="M8" s="58"/>
      <c r="N8" s="58"/>
      <c r="O8" s="59">
        <f t="shared" si="2"/>
        <v>0</v>
      </c>
      <c r="P8" s="58"/>
      <c r="Q8" s="58"/>
      <c r="R8" s="60">
        <v>3591578.2</v>
      </c>
      <c r="S8" s="138">
        <f t="shared" si="3"/>
        <v>1203.7999999998137</v>
      </c>
      <c r="T8" s="146"/>
    </row>
    <row r="9" spans="2:21">
      <c r="B9" s="65">
        <v>46210</v>
      </c>
      <c r="C9" s="58"/>
      <c r="D9" s="58">
        <v>6.01</v>
      </c>
      <c r="E9" s="58">
        <v>184</v>
      </c>
      <c r="F9" s="58"/>
      <c r="G9" s="59">
        <f t="shared" ref="G9" si="9">IF(OR(F8="",F9=""),0,IF(AND(ISNUMBER(F8),ISNUMBER(F9)),F9-F8,0))</f>
        <v>0</v>
      </c>
      <c r="H9" s="58">
        <v>128478.99</v>
      </c>
      <c r="I9" s="138">
        <f t="shared" si="1"/>
        <v>147.34999999999127</v>
      </c>
      <c r="J9" s="58"/>
      <c r="K9" s="58"/>
      <c r="L9" s="58"/>
      <c r="M9" s="58"/>
      <c r="N9" s="58"/>
      <c r="O9" s="59">
        <f t="shared" si="2"/>
        <v>0</v>
      </c>
      <c r="P9" s="58"/>
      <c r="Q9" s="58"/>
      <c r="R9" s="60">
        <v>3592782</v>
      </c>
      <c r="S9" s="138">
        <f t="shared" si="3"/>
        <v>1184.8999999999069</v>
      </c>
      <c r="T9" s="146"/>
    </row>
    <row r="10" spans="2:21">
      <c r="B10" s="65">
        <v>46211</v>
      </c>
      <c r="C10" s="58"/>
      <c r="D10" s="58">
        <v>5.83</v>
      </c>
      <c r="E10" s="58">
        <v>157</v>
      </c>
      <c r="F10" s="58"/>
      <c r="G10" s="59">
        <f t="shared" ref="G10" si="10">IF(OR(F9="",F10=""),0,IF(AND(ISNUMBER(F9),ISNUMBER(F10)),F10-F9,0))</f>
        <v>0</v>
      </c>
      <c r="H10" s="58">
        <v>128626.34</v>
      </c>
      <c r="I10" s="138">
        <f t="shared" si="1"/>
        <v>146.04000000000815</v>
      </c>
      <c r="J10" s="58"/>
      <c r="K10" s="58"/>
      <c r="L10" s="58"/>
      <c r="M10" s="58"/>
      <c r="N10" s="58"/>
      <c r="O10" s="59">
        <f t="shared" si="2"/>
        <v>0</v>
      </c>
      <c r="P10" s="58"/>
      <c r="Q10" s="58"/>
      <c r="R10" s="60">
        <v>3593966.9</v>
      </c>
      <c r="S10" s="138">
        <f t="shared" si="3"/>
        <v>1239.1000000000931</v>
      </c>
      <c r="T10" s="146"/>
    </row>
    <row r="11" spans="2:21">
      <c r="B11" s="65">
        <v>46212</v>
      </c>
      <c r="C11" s="58"/>
      <c r="D11" s="58">
        <v>5.99</v>
      </c>
      <c r="E11" s="58">
        <v>166</v>
      </c>
      <c r="F11" s="58"/>
      <c r="G11" s="59">
        <f t="shared" ref="G11" si="11">IF(OR(F10="",F11=""),0,IF(AND(ISNUMBER(F10),ISNUMBER(F11)),F11-F10,0))</f>
        <v>0</v>
      </c>
      <c r="H11" s="58">
        <v>128772.38</v>
      </c>
      <c r="I11" s="138">
        <f t="shared" si="1"/>
        <v>170.5399999999936</v>
      </c>
      <c r="J11" s="58"/>
      <c r="K11" s="58"/>
      <c r="L11" s="58"/>
      <c r="M11" s="58"/>
      <c r="N11" s="58"/>
      <c r="O11" s="59">
        <f t="shared" si="2"/>
        <v>0</v>
      </c>
      <c r="P11" s="58"/>
      <c r="Q11" s="58"/>
      <c r="R11" s="60">
        <v>3595206</v>
      </c>
      <c r="S11" s="138">
        <f t="shared" si="3"/>
        <v>1301.7000000001863</v>
      </c>
      <c r="T11" s="146"/>
    </row>
    <row r="12" spans="2:21">
      <c r="B12" s="65">
        <v>46213</v>
      </c>
      <c r="C12" s="58"/>
      <c r="D12" s="58"/>
      <c r="E12" s="58">
        <v>354</v>
      </c>
      <c r="F12" s="58"/>
      <c r="G12" s="59">
        <f t="shared" ref="G12" si="12">IF(OR(F11="",F12=""),0,IF(AND(ISNUMBER(F11),ISNUMBER(F12)),F12-F11,0))</f>
        <v>0</v>
      </c>
      <c r="H12" s="58">
        <v>128942.92</v>
      </c>
      <c r="I12" s="138">
        <f t="shared" si="1"/>
        <v>191.10000000000582</v>
      </c>
      <c r="J12" s="58"/>
      <c r="K12" s="58"/>
      <c r="L12" s="58"/>
      <c r="M12" s="58"/>
      <c r="N12" s="58"/>
      <c r="O12" s="59">
        <f t="shared" si="2"/>
        <v>0</v>
      </c>
      <c r="P12" s="58"/>
      <c r="Q12" s="58"/>
      <c r="R12" s="60">
        <v>3596507.7</v>
      </c>
      <c r="S12" s="138">
        <f t="shared" si="3"/>
        <v>1312.1999999997206</v>
      </c>
      <c r="T12" s="146"/>
    </row>
    <row r="13" spans="2:21">
      <c r="B13" s="88">
        <v>46214</v>
      </c>
      <c r="C13" s="58"/>
      <c r="D13" s="58"/>
      <c r="E13" s="58"/>
      <c r="F13" s="58"/>
      <c r="G13" s="59">
        <f t="shared" ref="G13" si="13">IF(OR(F12="",F13=""),0,IF(AND(ISNUMBER(F12),ISNUMBER(F13)),F13-F12,0))</f>
        <v>0</v>
      </c>
      <c r="H13" s="58">
        <v>129134.02</v>
      </c>
      <c r="I13" s="138">
        <f t="shared" si="1"/>
        <v>0</v>
      </c>
      <c r="J13" s="58"/>
      <c r="K13" s="58"/>
      <c r="L13" s="58"/>
      <c r="M13" s="58"/>
      <c r="N13" s="58"/>
      <c r="O13" s="59">
        <f t="shared" si="2"/>
        <v>0</v>
      </c>
      <c r="P13" s="58"/>
      <c r="Q13" s="58"/>
      <c r="R13" s="60">
        <v>3597819.9</v>
      </c>
      <c r="S13" s="138">
        <f t="shared" si="3"/>
        <v>1023</v>
      </c>
      <c r="T13" s="146"/>
    </row>
    <row r="14" spans="2:21">
      <c r="B14" s="88">
        <v>46215</v>
      </c>
      <c r="C14" s="58"/>
      <c r="D14" s="58"/>
      <c r="E14" s="58"/>
      <c r="F14" s="58"/>
      <c r="G14" s="59">
        <f t="shared" ref="G14" si="14">IF(OR(F13="",F14=""),0,IF(AND(ISNUMBER(F13),ISNUMBER(F14)),F14-F13,0))</f>
        <v>0</v>
      </c>
      <c r="H14" s="58">
        <v>129134.02</v>
      </c>
      <c r="I14" s="138">
        <f t="shared" si="1"/>
        <v>0</v>
      </c>
      <c r="J14" s="58"/>
      <c r="K14" s="58"/>
      <c r="L14" s="58"/>
      <c r="M14" s="58"/>
      <c r="N14" s="58"/>
      <c r="O14" s="59">
        <f t="shared" si="2"/>
        <v>0</v>
      </c>
      <c r="P14" s="58"/>
      <c r="Q14" s="58"/>
      <c r="R14" s="86">
        <f>R13+1023</f>
        <v>3598842.9</v>
      </c>
      <c r="S14" s="138">
        <f t="shared" si="3"/>
        <v>1000.6000000000931</v>
      </c>
      <c r="T14" s="146"/>
      <c r="U14" s="34"/>
    </row>
    <row r="15" spans="2:21">
      <c r="B15" s="65">
        <v>46216</v>
      </c>
      <c r="C15" s="58"/>
      <c r="D15" s="58">
        <v>5.87</v>
      </c>
      <c r="E15" s="58">
        <v>405</v>
      </c>
      <c r="F15" s="58"/>
      <c r="G15" s="59">
        <f t="shared" ref="G15" si="15">IF(OR(F14="",F15=""),0,IF(AND(ISNUMBER(F14),ISNUMBER(F15)),F15-F14,0))</f>
        <v>0</v>
      </c>
      <c r="H15" s="58">
        <v>129134.02</v>
      </c>
      <c r="I15" s="138">
        <f t="shared" si="1"/>
        <v>200.91999999999825</v>
      </c>
      <c r="J15" s="58"/>
      <c r="K15" s="58"/>
      <c r="L15" s="58"/>
      <c r="M15" s="58"/>
      <c r="N15" s="58"/>
      <c r="O15" s="59">
        <f t="shared" si="2"/>
        <v>0</v>
      </c>
      <c r="P15" s="58"/>
      <c r="Q15" s="58"/>
      <c r="R15" s="60">
        <v>3599843.5</v>
      </c>
      <c r="S15" s="138">
        <f t="shared" si="3"/>
        <v>1215</v>
      </c>
      <c r="T15" s="146"/>
    </row>
    <row r="16" spans="2:21">
      <c r="B16" s="65">
        <v>46217</v>
      </c>
      <c r="C16" s="58"/>
      <c r="D16" s="58">
        <v>4.91</v>
      </c>
      <c r="E16" s="58">
        <v>439</v>
      </c>
      <c r="F16" s="58"/>
      <c r="G16" s="59">
        <f t="shared" ref="G16" si="16">IF(OR(F15="",F16=""),0,IF(AND(ISNUMBER(F15),ISNUMBER(F16)),F16-F15,0))</f>
        <v>0</v>
      </c>
      <c r="H16" s="58">
        <v>129334.94</v>
      </c>
      <c r="I16" s="138">
        <f t="shared" si="1"/>
        <v>0</v>
      </c>
      <c r="J16" s="58"/>
      <c r="K16" s="58"/>
      <c r="L16" s="58"/>
      <c r="M16" s="58"/>
      <c r="N16" s="58"/>
      <c r="O16" s="59">
        <f t="shared" si="2"/>
        <v>0</v>
      </c>
      <c r="P16" s="58"/>
      <c r="Q16" s="58"/>
      <c r="R16" s="60">
        <v>3601058.5</v>
      </c>
      <c r="S16" s="138">
        <f t="shared" si="3"/>
        <v>1121.3999999999069</v>
      </c>
      <c r="T16" s="146"/>
    </row>
    <row r="17" spans="2:20">
      <c r="B17" s="65">
        <v>46218</v>
      </c>
      <c r="C17" s="58"/>
      <c r="D17" s="58">
        <v>5.73</v>
      </c>
      <c r="E17" s="58">
        <v>602</v>
      </c>
      <c r="F17" s="58"/>
      <c r="G17" s="59">
        <f t="shared" ref="G17" si="17">IF(OR(F16="",F17=""),0,IF(AND(ISNUMBER(F16),ISNUMBER(F17)),F17-F16,0))</f>
        <v>0</v>
      </c>
      <c r="H17" s="58"/>
      <c r="I17" s="138">
        <f t="shared" si="1"/>
        <v>0</v>
      </c>
      <c r="J17" s="58"/>
      <c r="K17" s="58"/>
      <c r="L17" s="58"/>
      <c r="M17" s="58"/>
      <c r="N17" s="58"/>
      <c r="O17" s="59">
        <f t="shared" si="2"/>
        <v>0</v>
      </c>
      <c r="P17" s="58"/>
      <c r="Q17" s="58"/>
      <c r="R17" s="60">
        <v>3602179.9</v>
      </c>
      <c r="S17" s="138">
        <f t="shared" si="3"/>
        <v>0</v>
      </c>
      <c r="T17" s="146"/>
    </row>
    <row r="18" spans="2:20">
      <c r="B18" s="65">
        <v>46219</v>
      </c>
      <c r="C18" s="58"/>
      <c r="D18" s="58"/>
      <c r="E18" s="58"/>
      <c r="F18" s="58"/>
      <c r="G18" s="59">
        <f t="shared" ref="G18" si="18">IF(OR(F17="",F18=""),0,IF(AND(ISNUMBER(F17),ISNUMBER(F18)),F18-F17,0))</f>
        <v>0</v>
      </c>
      <c r="H18" s="58"/>
      <c r="I18" s="138">
        <f t="shared" si="1"/>
        <v>0</v>
      </c>
      <c r="J18" s="58"/>
      <c r="K18" s="58"/>
      <c r="L18" s="58"/>
      <c r="M18" s="58"/>
      <c r="N18" s="58"/>
      <c r="O18" s="59">
        <f t="shared" si="2"/>
        <v>0</v>
      </c>
      <c r="P18" s="58"/>
      <c r="Q18" s="58"/>
      <c r="R18" s="60"/>
      <c r="S18" s="138">
        <f t="shared" si="3"/>
        <v>0</v>
      </c>
      <c r="T18" s="146"/>
    </row>
    <row r="19" spans="2:20">
      <c r="B19" s="65">
        <v>46220</v>
      </c>
      <c r="C19" s="58"/>
      <c r="D19" s="58"/>
      <c r="E19" s="58"/>
      <c r="F19" s="58"/>
      <c r="G19" s="59">
        <f t="shared" ref="G19" si="19">IF(OR(F18="",F19=""),0,IF(AND(ISNUMBER(F18),ISNUMBER(F19)),F19-F18,0))</f>
        <v>0</v>
      </c>
      <c r="H19" s="58"/>
      <c r="I19" s="138">
        <f t="shared" si="1"/>
        <v>0</v>
      </c>
      <c r="J19" s="58"/>
      <c r="K19" s="58"/>
      <c r="L19" s="58"/>
      <c r="M19" s="58"/>
      <c r="N19" s="58"/>
      <c r="O19" s="59">
        <f t="shared" si="2"/>
        <v>0</v>
      </c>
      <c r="P19" s="58"/>
      <c r="Q19" s="58"/>
      <c r="R19" s="60"/>
      <c r="S19" s="138">
        <f t="shared" si="3"/>
        <v>0</v>
      </c>
      <c r="T19" s="146"/>
    </row>
    <row r="20" spans="2:20">
      <c r="B20" s="88">
        <v>46221</v>
      </c>
      <c r="C20" s="58"/>
      <c r="D20" s="58"/>
      <c r="E20" s="58"/>
      <c r="F20" s="58"/>
      <c r="G20" s="59">
        <f t="shared" ref="G20" si="20">IF(OR(F19="",F20=""),0,IF(AND(ISNUMBER(F19),ISNUMBER(F20)),F20-F19,0))</f>
        <v>0</v>
      </c>
      <c r="H20" s="58">
        <v>129864.03</v>
      </c>
      <c r="I20" s="138">
        <f t="shared" si="1"/>
        <v>28.460000000006403</v>
      </c>
      <c r="J20" s="58"/>
      <c r="K20" s="58"/>
      <c r="L20" s="58"/>
      <c r="M20" s="58"/>
      <c r="N20" s="58"/>
      <c r="O20" s="59">
        <f t="shared" si="2"/>
        <v>0</v>
      </c>
      <c r="P20" s="58"/>
      <c r="Q20" s="58"/>
      <c r="R20" s="60">
        <v>3605800.5</v>
      </c>
      <c r="S20" s="138">
        <f t="shared" si="3"/>
        <v>1124.6499999999069</v>
      </c>
      <c r="T20" s="146"/>
    </row>
    <row r="21" spans="2:20">
      <c r="B21" s="88">
        <v>46222</v>
      </c>
      <c r="C21" s="58"/>
      <c r="D21" s="58"/>
      <c r="E21" s="58"/>
      <c r="F21" s="58"/>
      <c r="G21" s="59">
        <f t="shared" ref="G21" si="21">IF(OR(F20="",F21=""),0,IF(AND(ISNUMBER(F20),ISNUMBER(F21)),F21-F20,0))</f>
        <v>0</v>
      </c>
      <c r="H21" s="58">
        <v>129892.49</v>
      </c>
      <c r="I21" s="138">
        <f t="shared" si="1"/>
        <v>0</v>
      </c>
      <c r="J21" s="58"/>
      <c r="K21" s="58"/>
      <c r="L21" s="58"/>
      <c r="M21" s="58"/>
      <c r="N21" s="58"/>
      <c r="O21" s="59">
        <f t="shared" si="2"/>
        <v>0</v>
      </c>
      <c r="P21" s="58"/>
      <c r="Q21" s="58"/>
      <c r="R21" s="60">
        <v>3606925.15</v>
      </c>
      <c r="S21" s="138">
        <f t="shared" si="3"/>
        <v>1124.6499999999069</v>
      </c>
      <c r="T21" s="146"/>
    </row>
    <row r="22" spans="2:20">
      <c r="B22" s="65">
        <v>46223</v>
      </c>
      <c r="C22" s="58"/>
      <c r="D22" s="58">
        <v>5.35</v>
      </c>
      <c r="E22" s="58">
        <v>219</v>
      </c>
      <c r="F22" s="58"/>
      <c r="G22" s="59">
        <f t="shared" ref="G22" si="22">IF(OR(F21="",F22=""),0,IF(AND(ISNUMBER(F21),ISNUMBER(F22)),F22-F21,0))</f>
        <v>0</v>
      </c>
      <c r="H22" s="58">
        <v>129892.49</v>
      </c>
      <c r="I22" s="138">
        <f t="shared" si="1"/>
        <v>213</v>
      </c>
      <c r="J22" s="58"/>
      <c r="K22" s="58"/>
      <c r="L22" s="58"/>
      <c r="M22" s="58"/>
      <c r="N22" s="58"/>
      <c r="O22" s="59">
        <f t="shared" si="2"/>
        <v>0</v>
      </c>
      <c r="P22" s="58"/>
      <c r="Q22" s="58"/>
      <c r="R22" s="60">
        <v>3608049.8</v>
      </c>
      <c r="S22" s="138">
        <f t="shared" si="3"/>
        <v>1260.3000000002794</v>
      </c>
      <c r="T22" s="146"/>
    </row>
    <row r="23" spans="2:20">
      <c r="B23" s="65">
        <v>46224</v>
      </c>
      <c r="C23" s="58"/>
      <c r="D23" s="58">
        <v>5.15</v>
      </c>
      <c r="E23" s="58">
        <v>211</v>
      </c>
      <c r="F23" s="58"/>
      <c r="G23" s="59">
        <f t="shared" ref="G23" si="23">IF(OR(F22="",F23=""),0,IF(AND(ISNUMBER(F22),ISNUMBER(F23)),F23-F22,0))</f>
        <v>0</v>
      </c>
      <c r="H23" s="58">
        <v>130105.49</v>
      </c>
      <c r="I23" s="138">
        <f t="shared" si="1"/>
        <v>169.44999999999709</v>
      </c>
      <c r="J23" s="58"/>
      <c r="K23" s="58"/>
      <c r="L23" s="58"/>
      <c r="M23" s="58"/>
      <c r="N23" s="58"/>
      <c r="O23" s="59">
        <f t="shared" si="2"/>
        <v>0</v>
      </c>
      <c r="P23" s="58"/>
      <c r="Q23" s="58"/>
      <c r="R23" s="60">
        <v>3609310.1</v>
      </c>
      <c r="S23" s="138">
        <f t="shared" si="3"/>
        <v>1225</v>
      </c>
      <c r="T23" s="146"/>
    </row>
    <row r="24" spans="2:20">
      <c r="B24" s="65">
        <v>46225</v>
      </c>
      <c r="C24" s="58"/>
      <c r="D24" s="58">
        <v>5.09</v>
      </c>
      <c r="E24" s="58">
        <v>158</v>
      </c>
      <c r="F24" s="58"/>
      <c r="G24" s="59">
        <f t="shared" ref="G24" si="24">IF(OR(F23="",F24=""),0,IF(AND(ISNUMBER(F23),ISNUMBER(F24)),F24-F23,0))</f>
        <v>0</v>
      </c>
      <c r="H24" s="58">
        <v>130274.94</v>
      </c>
      <c r="I24" s="138">
        <f t="shared" si="1"/>
        <v>122.94999999999709</v>
      </c>
      <c r="J24" s="58"/>
      <c r="K24" s="58"/>
      <c r="L24" s="58"/>
      <c r="M24" s="58"/>
      <c r="N24" s="58"/>
      <c r="O24" s="59">
        <f t="shared" si="2"/>
        <v>0</v>
      </c>
      <c r="P24" s="58"/>
      <c r="Q24" s="58"/>
      <c r="R24" s="60">
        <v>3610535.1</v>
      </c>
      <c r="S24" s="138">
        <f t="shared" si="3"/>
        <v>1221.7999999998137</v>
      </c>
      <c r="T24" s="146"/>
    </row>
    <row r="25" spans="2:20">
      <c r="B25" s="65">
        <v>46226</v>
      </c>
      <c r="C25" s="58"/>
      <c r="D25" s="58">
        <v>4.9000000000000004</v>
      </c>
      <c r="E25" s="58">
        <v>142</v>
      </c>
      <c r="F25" s="58"/>
      <c r="G25" s="59">
        <f t="shared" ref="G25" si="25">IF(OR(F24="",F25=""),0,IF(AND(ISNUMBER(F24),ISNUMBER(F25)),F25-F24,0))</f>
        <v>0</v>
      </c>
      <c r="H25" s="58">
        <v>130397.89</v>
      </c>
      <c r="I25" s="138">
        <f t="shared" si="1"/>
        <v>81.029999999998836</v>
      </c>
      <c r="J25" s="58"/>
      <c r="K25" s="58"/>
      <c r="L25" s="58"/>
      <c r="M25" s="58"/>
      <c r="N25" s="58"/>
      <c r="O25" s="59">
        <f t="shared" si="2"/>
        <v>0</v>
      </c>
      <c r="P25" s="58"/>
      <c r="Q25" s="58"/>
      <c r="R25" s="60">
        <v>3611756.9</v>
      </c>
      <c r="S25" s="138">
        <f t="shared" si="3"/>
        <v>1168.3000000002794</v>
      </c>
      <c r="T25" s="146"/>
    </row>
    <row r="26" spans="2:20">
      <c r="B26" s="65">
        <v>46227</v>
      </c>
      <c r="C26" s="58"/>
      <c r="D26" s="58">
        <v>5.23</v>
      </c>
      <c r="E26" s="58">
        <v>103</v>
      </c>
      <c r="F26" s="58"/>
      <c r="G26" s="59">
        <f t="shared" ref="G26" si="26">IF(OR(F25="",F26=""),0,IF(AND(ISNUMBER(F25),ISNUMBER(F26)),F26-F25,0))</f>
        <v>0</v>
      </c>
      <c r="H26" s="58">
        <v>130478.92</v>
      </c>
      <c r="I26" s="138">
        <f t="shared" si="1"/>
        <v>0</v>
      </c>
      <c r="J26" s="58"/>
      <c r="K26" s="58"/>
      <c r="L26" s="58"/>
      <c r="M26" s="58"/>
      <c r="N26" s="58"/>
      <c r="O26" s="59">
        <f t="shared" si="2"/>
        <v>0</v>
      </c>
      <c r="P26" s="58"/>
      <c r="Q26" s="58"/>
      <c r="R26" s="60">
        <v>3612925.2</v>
      </c>
      <c r="S26" s="138">
        <f t="shared" si="3"/>
        <v>0</v>
      </c>
      <c r="T26" s="146"/>
    </row>
    <row r="27" spans="2:20">
      <c r="B27" s="88">
        <v>46228</v>
      </c>
      <c r="C27" s="58"/>
      <c r="D27" s="58"/>
      <c r="E27" s="58"/>
      <c r="F27" s="58"/>
      <c r="G27" s="59">
        <f t="shared" ref="G27" si="27">IF(OR(F26="",F27=""),0,IF(AND(ISNUMBER(F26),ISNUMBER(F27)),F27-F26,0))</f>
        <v>0</v>
      </c>
      <c r="H27" s="58"/>
      <c r="I27" s="138">
        <f t="shared" si="1"/>
        <v>0</v>
      </c>
      <c r="J27" s="58"/>
      <c r="K27" s="58"/>
      <c r="L27" s="58"/>
      <c r="M27" s="58"/>
      <c r="N27" s="58"/>
      <c r="O27" s="59">
        <f t="shared" si="2"/>
        <v>0</v>
      </c>
      <c r="P27" s="58"/>
      <c r="Q27" s="58"/>
      <c r="R27" s="60"/>
      <c r="S27" s="138">
        <f t="shared" si="3"/>
        <v>0</v>
      </c>
      <c r="T27" s="146"/>
    </row>
    <row r="28" spans="2:20">
      <c r="B28" s="88">
        <v>46229</v>
      </c>
      <c r="C28" s="58"/>
      <c r="D28" s="58"/>
      <c r="E28" s="58"/>
      <c r="F28" s="58"/>
      <c r="G28" s="59">
        <f t="shared" ref="G28" si="28">IF(OR(F27="",F28=""),0,IF(AND(ISNUMBER(F27),ISNUMBER(F28)),F28-F27,0))</f>
        <v>0</v>
      </c>
      <c r="H28" s="58"/>
      <c r="I28" s="138">
        <f t="shared" si="1"/>
        <v>0</v>
      </c>
      <c r="J28" s="58"/>
      <c r="K28" s="58"/>
      <c r="L28" s="58"/>
      <c r="M28" s="58"/>
      <c r="N28" s="58"/>
      <c r="O28" s="59">
        <f t="shared" si="2"/>
        <v>0</v>
      </c>
      <c r="P28" s="58"/>
      <c r="Q28" s="58"/>
      <c r="R28" s="60"/>
      <c r="S28" s="138">
        <f t="shared" si="3"/>
        <v>0</v>
      </c>
      <c r="T28" s="146"/>
    </row>
    <row r="29" spans="2:20">
      <c r="B29" s="65">
        <v>46230</v>
      </c>
      <c r="C29" s="58"/>
      <c r="D29" s="58">
        <v>4.62</v>
      </c>
      <c r="E29" s="58">
        <v>358</v>
      </c>
      <c r="F29" s="58"/>
      <c r="G29" s="59">
        <f t="shared" ref="G29" si="29">IF(OR(F28="",F29=""),0,IF(AND(ISNUMBER(F28),ISNUMBER(F29)),F29-F28,0))</f>
        <v>0</v>
      </c>
      <c r="H29" s="58"/>
      <c r="I29" s="138">
        <f t="shared" si="1"/>
        <v>0</v>
      </c>
      <c r="J29" s="58"/>
      <c r="K29" s="58"/>
      <c r="L29" s="58"/>
      <c r="M29" s="58"/>
      <c r="N29" s="58"/>
      <c r="O29" s="59">
        <f t="shared" si="2"/>
        <v>0</v>
      </c>
      <c r="P29" s="58"/>
      <c r="Q29" s="58"/>
      <c r="R29" s="60">
        <v>3616597</v>
      </c>
      <c r="S29" s="138">
        <f t="shared" si="3"/>
        <v>1299</v>
      </c>
      <c r="T29" s="146"/>
    </row>
    <row r="30" spans="2:20">
      <c r="B30" s="65">
        <v>46231</v>
      </c>
      <c r="C30" s="58"/>
      <c r="D30" s="58">
        <v>4.71</v>
      </c>
      <c r="E30" s="58">
        <v>385</v>
      </c>
      <c r="F30" s="58"/>
      <c r="G30" s="59">
        <f t="shared" ref="G30" si="30">IF(OR(F29="",F30=""),0,IF(AND(ISNUMBER(F29),ISNUMBER(F30)),F30-F29,0))</f>
        <v>0</v>
      </c>
      <c r="H30" s="58"/>
      <c r="I30" s="138">
        <f t="shared" si="1"/>
        <v>0</v>
      </c>
      <c r="J30" s="58"/>
      <c r="K30" s="58"/>
      <c r="L30" s="58"/>
      <c r="M30" s="58"/>
      <c r="N30" s="58"/>
      <c r="O30" s="59">
        <f t="shared" si="2"/>
        <v>0</v>
      </c>
      <c r="P30" s="58"/>
      <c r="Q30" s="58"/>
      <c r="R30" s="60">
        <v>3617896</v>
      </c>
      <c r="S30" s="138">
        <f t="shared" si="3"/>
        <v>0</v>
      </c>
      <c r="T30" s="146"/>
    </row>
    <row r="31" spans="2:20">
      <c r="B31" s="65">
        <v>46232</v>
      </c>
      <c r="C31" s="58"/>
      <c r="D31" s="58"/>
      <c r="E31" s="58"/>
      <c r="F31" s="58"/>
      <c r="G31" s="59">
        <f t="shared" ref="G31" si="31">IF(OR(F30="",F31=""),0,IF(AND(ISNUMBER(F30),ISNUMBER(F31)),F31-F30,0))</f>
        <v>0</v>
      </c>
      <c r="H31" s="58"/>
      <c r="I31" s="138">
        <f t="shared" si="1"/>
        <v>0</v>
      </c>
      <c r="J31" s="58"/>
      <c r="K31" s="58"/>
      <c r="L31" s="58"/>
      <c r="M31" s="58"/>
      <c r="N31" s="58"/>
      <c r="O31" s="59">
        <f t="shared" si="2"/>
        <v>0</v>
      </c>
      <c r="P31" s="58"/>
      <c r="Q31" s="58"/>
      <c r="R31" s="60"/>
      <c r="S31" s="138">
        <f t="shared" si="3"/>
        <v>0</v>
      </c>
      <c r="T31" s="146"/>
    </row>
    <row r="32" spans="2:20">
      <c r="B32" s="113">
        <v>46233</v>
      </c>
      <c r="C32" s="114"/>
      <c r="D32" s="114"/>
      <c r="E32" s="114"/>
      <c r="F32" s="114"/>
      <c r="G32" s="59">
        <f t="shared" ref="G32" si="32">IF(OR(F31="",F32=""),0,IF(AND(ISNUMBER(F31),ISNUMBER(F32)),F32-F31,0))</f>
        <v>0</v>
      </c>
      <c r="H32" s="114"/>
      <c r="I32" s="138">
        <f t="shared" si="1"/>
        <v>0</v>
      </c>
      <c r="J32" s="114"/>
      <c r="K32" s="114"/>
      <c r="L32" s="114"/>
      <c r="M32" s="114"/>
      <c r="N32" s="114"/>
      <c r="O32" s="115">
        <f t="shared" si="2"/>
        <v>0</v>
      </c>
      <c r="P32" s="114"/>
      <c r="Q32" s="114"/>
      <c r="R32" s="116"/>
      <c r="S32" s="138">
        <f t="shared" si="3"/>
        <v>0</v>
      </c>
      <c r="T32" s="146"/>
    </row>
    <row r="33" spans="2:21">
      <c r="B33" s="147">
        <v>46234</v>
      </c>
      <c r="C33" s="57"/>
      <c r="D33" s="57"/>
      <c r="E33" s="57"/>
      <c r="F33" s="57"/>
      <c r="G33" s="59">
        <f t="shared" ref="G33" si="33">IF(OR(F32="",F33=""),0,IF(AND(ISNUMBER(F32),ISNUMBER(F33)),F33-F32,0))</f>
        <v>0</v>
      </c>
      <c r="H33" s="57"/>
      <c r="I33" s="138">
        <f t="shared" si="1"/>
        <v>0</v>
      </c>
      <c r="J33" s="57"/>
      <c r="K33" s="57"/>
      <c r="L33" s="57"/>
      <c r="M33" s="57"/>
      <c r="N33" s="57"/>
      <c r="O33" s="117">
        <f t="shared" si="2"/>
        <v>0</v>
      </c>
      <c r="P33" s="57"/>
      <c r="Q33" s="57"/>
      <c r="R33" s="149"/>
      <c r="S33" s="138">
        <f t="shared" si="3"/>
        <v>0</v>
      </c>
      <c r="T33" s="146"/>
    </row>
    <row r="34" spans="2:21">
      <c r="B34" s="148">
        <v>46235</v>
      </c>
      <c r="C34" s="57"/>
      <c r="D34" s="57"/>
      <c r="E34" s="57"/>
      <c r="F34" s="57"/>
      <c r="G34" s="59">
        <f t="shared" ref="G34" si="34">IF(OR(F33="",F34=""),0,IF(AND(ISNUMBER(F33),ISNUMBER(F34)),F34-F33,0))</f>
        <v>0</v>
      </c>
      <c r="H34" s="57">
        <v>131041.28</v>
      </c>
      <c r="I34" s="138">
        <f t="shared" si="1"/>
        <v>0</v>
      </c>
      <c r="J34" s="57"/>
      <c r="K34" s="57"/>
      <c r="L34" s="57"/>
      <c r="M34" s="57"/>
      <c r="N34" s="57"/>
      <c r="O34" s="117">
        <f t="shared" ref="O34:O40" si="35">IF(N34=0,0,IF(ISNUMBER(N33),N34-N33,0))</f>
        <v>0</v>
      </c>
      <c r="P34" s="57"/>
      <c r="Q34" s="57"/>
      <c r="R34" s="118">
        <v>3623444.2</v>
      </c>
      <c r="S34" s="138">
        <f t="shared" si="3"/>
        <v>1133</v>
      </c>
      <c r="T34" s="146"/>
      <c r="U34" s="34"/>
    </row>
    <row r="35" spans="2:21">
      <c r="B35" s="148">
        <v>46236</v>
      </c>
      <c r="C35" s="57"/>
      <c r="D35" s="57"/>
      <c r="E35" s="57"/>
      <c r="F35" s="57"/>
      <c r="G35" s="59">
        <f t="shared" ref="G35" si="36">IF(OR(F34="",F35=""),0,IF(AND(ISNUMBER(F34),ISNUMBER(F35)),F35-F34,0))</f>
        <v>0</v>
      </c>
      <c r="H35" s="57">
        <v>131041.28</v>
      </c>
      <c r="I35" s="138">
        <f t="shared" si="1"/>
        <v>0</v>
      </c>
      <c r="J35" s="57"/>
      <c r="K35" s="57"/>
      <c r="L35" s="57"/>
      <c r="M35" s="57"/>
      <c r="N35" s="57"/>
      <c r="O35" s="117">
        <f t="shared" si="35"/>
        <v>0</v>
      </c>
      <c r="P35" s="57"/>
      <c r="Q35" s="57"/>
      <c r="R35" s="118">
        <v>3624577.2</v>
      </c>
      <c r="S35" s="138">
        <f t="shared" si="3"/>
        <v>1133</v>
      </c>
      <c r="T35" s="146"/>
    </row>
    <row r="36" spans="2:21">
      <c r="B36" s="147">
        <v>46237</v>
      </c>
      <c r="C36" s="57"/>
      <c r="D36" s="57">
        <v>5.18</v>
      </c>
      <c r="E36" s="57">
        <v>20.7</v>
      </c>
      <c r="F36" s="57"/>
      <c r="G36" s="59">
        <f t="shared" ref="G36" si="37">IF(OR(F35="",F36=""),0,IF(AND(ISNUMBER(F35),ISNUMBER(F36)),F36-F35,0))</f>
        <v>0</v>
      </c>
      <c r="H36" s="57">
        <v>131041.28</v>
      </c>
      <c r="I36" s="138">
        <f t="shared" si="1"/>
        <v>18.570000000006985</v>
      </c>
      <c r="J36" s="57"/>
      <c r="K36" s="57"/>
      <c r="L36" s="57"/>
      <c r="M36" s="57"/>
      <c r="N36" s="57"/>
      <c r="O36" s="117">
        <f t="shared" si="35"/>
        <v>0</v>
      </c>
      <c r="P36" s="57"/>
      <c r="Q36" s="57"/>
      <c r="R36" s="118">
        <v>3625710.2</v>
      </c>
      <c r="S36" s="138">
        <f t="shared" si="3"/>
        <v>1241</v>
      </c>
      <c r="T36" s="146"/>
    </row>
    <row r="37" spans="2:21">
      <c r="B37" s="147">
        <v>46238</v>
      </c>
      <c r="C37" s="57"/>
      <c r="D37" s="57">
        <v>5.19</v>
      </c>
      <c r="E37" s="57">
        <v>83</v>
      </c>
      <c r="F37" s="57"/>
      <c r="G37" s="59">
        <f t="shared" ref="G37" si="38">IF(OR(F36="",F37=""),0,IF(AND(ISNUMBER(F36),ISNUMBER(F37)),F37-F36,0))</f>
        <v>0</v>
      </c>
      <c r="H37" s="57">
        <v>131059.85</v>
      </c>
      <c r="I37" s="138">
        <f t="shared" si="1"/>
        <v>95.220000000001164</v>
      </c>
      <c r="J37" s="57"/>
      <c r="K37" s="57"/>
      <c r="L37" s="57"/>
      <c r="M37" s="57"/>
      <c r="N37" s="57"/>
      <c r="O37" s="117">
        <f t="shared" si="35"/>
        <v>0</v>
      </c>
      <c r="P37" s="57"/>
      <c r="Q37" s="57"/>
      <c r="R37" s="118">
        <v>3626951.2</v>
      </c>
      <c r="S37" s="138">
        <f t="shared" si="3"/>
        <v>1258.8999999999069</v>
      </c>
      <c r="T37" s="146">
        <v>10</v>
      </c>
    </row>
    <row r="38" spans="2:21">
      <c r="B38" s="147">
        <v>46239</v>
      </c>
      <c r="C38" s="57"/>
      <c r="D38" s="57">
        <v>5.28</v>
      </c>
      <c r="E38" s="57">
        <v>168</v>
      </c>
      <c r="F38" s="57"/>
      <c r="G38" s="59">
        <f t="shared" ref="G38" si="39">IF(OR(F37="",F38=""),0,IF(AND(ISNUMBER(F37),ISNUMBER(F38)),F38-F37,0))</f>
        <v>0</v>
      </c>
      <c r="H38" s="57">
        <v>131155.07</v>
      </c>
      <c r="I38" s="138">
        <f t="shared" si="1"/>
        <v>61.839999999996508</v>
      </c>
      <c r="J38" s="57"/>
      <c r="K38" s="57"/>
      <c r="L38" s="57"/>
      <c r="M38" s="57"/>
      <c r="N38" s="57"/>
      <c r="O38" s="117">
        <f t="shared" si="35"/>
        <v>0</v>
      </c>
      <c r="P38" s="57"/>
      <c r="Q38" s="57"/>
      <c r="R38" s="118">
        <v>3628210.1</v>
      </c>
      <c r="S38" s="138">
        <f t="shared" si="3"/>
        <v>1283.1999999997206</v>
      </c>
      <c r="T38" s="146"/>
    </row>
    <row r="39" spans="2:21">
      <c r="B39" s="147">
        <v>46240</v>
      </c>
      <c r="C39" s="57"/>
      <c r="D39" s="57">
        <v>5.15</v>
      </c>
      <c r="E39" s="57">
        <v>171</v>
      </c>
      <c r="F39" s="57"/>
      <c r="G39" s="59">
        <f t="shared" ref="G39" si="40">IF(OR(F38="",F39=""),0,IF(AND(ISNUMBER(F38),ISNUMBER(F39)),F39-F38,0))</f>
        <v>0</v>
      </c>
      <c r="H39" s="57">
        <v>131216.91</v>
      </c>
      <c r="I39" s="138">
        <f t="shared" si="1"/>
        <v>23.600000000005821</v>
      </c>
      <c r="J39" s="57"/>
      <c r="K39" s="57"/>
      <c r="L39" s="57"/>
      <c r="M39" s="57"/>
      <c r="N39" s="57"/>
      <c r="O39" s="117">
        <f t="shared" si="35"/>
        <v>0</v>
      </c>
      <c r="P39" s="57"/>
      <c r="Q39" s="57"/>
      <c r="R39" s="118">
        <v>3629493.3</v>
      </c>
      <c r="S39" s="138">
        <f t="shared" si="3"/>
        <v>1237</v>
      </c>
      <c r="T39" s="146">
        <v>10</v>
      </c>
    </row>
    <row r="40" spans="2:21">
      <c r="B40" s="147">
        <v>46241</v>
      </c>
      <c r="C40" s="151"/>
      <c r="D40" s="151">
        <v>5.37</v>
      </c>
      <c r="E40" s="151">
        <v>154</v>
      </c>
      <c r="F40" s="151"/>
      <c r="G40" s="59">
        <f t="shared" ref="G40" si="41">IF(OR(F39="",F40=""),0,IF(AND(ISNUMBER(F39),ISNUMBER(F40)),F40-F39,0))</f>
        <v>0</v>
      </c>
      <c r="H40" s="151">
        <v>131240.51</v>
      </c>
      <c r="I40" s="138">
        <f t="shared" si="1"/>
        <v>0</v>
      </c>
      <c r="J40" s="151"/>
      <c r="K40" s="151"/>
      <c r="L40" s="151"/>
      <c r="M40" s="151"/>
      <c r="N40" s="151"/>
      <c r="O40" s="152">
        <f t="shared" si="35"/>
        <v>0</v>
      </c>
      <c r="P40" s="151"/>
      <c r="Q40" s="151"/>
      <c r="R40" s="153">
        <v>3630730.3</v>
      </c>
      <c r="S40" s="138">
        <f t="shared" si="3"/>
        <v>0</v>
      </c>
      <c r="T40" s="154">
        <v>10</v>
      </c>
    </row>
    <row r="41" spans="2:21">
      <c r="B41" s="159">
        <v>46242</v>
      </c>
      <c r="C41" s="10"/>
      <c r="D41" s="10"/>
      <c r="E41" s="10"/>
      <c r="F41" s="10"/>
      <c r="G41" s="59">
        <f t="shared" ref="G41" si="42">IF(OR(F40="",F41=""),0,IF(AND(ISNUMBER(F40),ISNUMBER(F41)),F41-F40,0))</f>
        <v>0</v>
      </c>
      <c r="H41" s="10"/>
      <c r="I41" s="138">
        <f t="shared" si="1"/>
        <v>0</v>
      </c>
      <c r="J41" s="10"/>
      <c r="K41" s="10"/>
      <c r="L41" s="10"/>
      <c r="M41" s="10"/>
      <c r="N41" s="10"/>
      <c r="O41" s="10"/>
      <c r="P41" s="10"/>
      <c r="Q41" s="10"/>
      <c r="R41" s="155"/>
      <c r="S41" s="138">
        <f t="shared" si="3"/>
        <v>0</v>
      </c>
      <c r="T41" s="10"/>
    </row>
    <row r="42" spans="2:21">
      <c r="B42" s="159">
        <v>46243</v>
      </c>
      <c r="C42" s="10"/>
      <c r="D42" s="10"/>
      <c r="E42" s="10"/>
      <c r="F42" s="10"/>
      <c r="G42" s="59">
        <f t="shared" ref="G42" si="43">IF(OR(F41="",F42=""),0,IF(AND(ISNUMBER(F41),ISNUMBER(F42)),F42-F41,0))</f>
        <v>0</v>
      </c>
      <c r="H42" s="10"/>
      <c r="I42" s="138">
        <f t="shared" si="1"/>
        <v>0</v>
      </c>
      <c r="J42" s="10"/>
      <c r="K42" s="10"/>
      <c r="L42" s="10"/>
      <c r="M42" s="10"/>
      <c r="N42" s="10"/>
      <c r="O42" s="10"/>
      <c r="P42" s="156"/>
      <c r="Q42" s="10"/>
      <c r="R42" s="157"/>
      <c r="S42" s="138">
        <f t="shared" si="3"/>
        <v>0</v>
      </c>
      <c r="T42" s="10"/>
    </row>
    <row r="43" spans="2:21">
      <c r="B43" s="150">
        <v>46244</v>
      </c>
      <c r="C43" s="10"/>
      <c r="D43" s="10"/>
      <c r="E43" s="10"/>
      <c r="F43" s="10"/>
      <c r="G43" s="59">
        <f t="shared" ref="G43" si="44">IF(OR(F42="",F43=""),0,IF(AND(ISNUMBER(F42),ISNUMBER(F43)),F43-F42,0))</f>
        <v>0</v>
      </c>
      <c r="H43" s="58"/>
      <c r="I43" s="138">
        <f t="shared" si="1"/>
        <v>0</v>
      </c>
      <c r="J43" s="10"/>
      <c r="K43" s="10"/>
      <c r="L43" s="10"/>
      <c r="M43" s="10"/>
      <c r="N43" s="10"/>
      <c r="O43" s="10"/>
      <c r="P43" s="10"/>
      <c r="Q43" s="10"/>
      <c r="R43" s="155"/>
      <c r="S43" s="138">
        <f t="shared" si="3"/>
        <v>0</v>
      </c>
      <c r="T43" s="10"/>
    </row>
    <row r="44" spans="2:21">
      <c r="B44" s="150">
        <v>46245</v>
      </c>
      <c r="C44" s="10"/>
      <c r="D44" s="10"/>
      <c r="E44" s="10"/>
      <c r="F44" s="10"/>
      <c r="G44" s="59">
        <f t="shared" ref="G44" si="45">IF(OR(F43="",F44=""),0,IF(AND(ISNUMBER(F43),ISNUMBER(F44)),F44-F43,0))</f>
        <v>0</v>
      </c>
      <c r="H44" s="58"/>
      <c r="I44" s="138">
        <f t="shared" si="1"/>
        <v>0</v>
      </c>
      <c r="J44" s="10"/>
      <c r="K44" s="10"/>
      <c r="L44" s="10"/>
      <c r="M44" s="10"/>
      <c r="N44" s="10"/>
      <c r="O44" s="10"/>
      <c r="P44" s="10"/>
      <c r="Q44" s="10"/>
      <c r="R44" s="155"/>
      <c r="S44" s="138">
        <f t="shared" si="3"/>
        <v>0</v>
      </c>
      <c r="T44" s="10">
        <v>10</v>
      </c>
    </row>
    <row r="45" spans="2:21">
      <c r="B45" s="150">
        <v>46246</v>
      </c>
      <c r="C45" s="10"/>
      <c r="D45" s="10"/>
      <c r="E45" s="10"/>
      <c r="F45" s="10"/>
      <c r="G45" s="59">
        <f t="shared" ref="G45" si="46">IF(OR(F44="",F45=""),0,IF(AND(ISNUMBER(F44),ISNUMBER(F45)),F45-F44,0))</f>
        <v>0</v>
      </c>
      <c r="H45" s="10"/>
      <c r="I45" s="138">
        <f t="shared" si="1"/>
        <v>0</v>
      </c>
      <c r="J45" s="10"/>
      <c r="K45" s="10"/>
      <c r="L45" s="10"/>
      <c r="M45" s="10"/>
      <c r="N45" s="10"/>
      <c r="O45" s="10"/>
      <c r="P45" s="10"/>
      <c r="Q45" s="10"/>
      <c r="R45" s="155"/>
      <c r="S45" s="138">
        <f t="shared" si="3"/>
        <v>0</v>
      </c>
      <c r="T45" s="10"/>
    </row>
    <row r="46" spans="2:21">
      <c r="B46" s="150">
        <v>46247</v>
      </c>
      <c r="C46" s="10"/>
      <c r="D46" s="10"/>
      <c r="E46" s="10"/>
      <c r="F46" s="10"/>
      <c r="G46" s="59">
        <f t="shared" ref="G46" si="47">IF(OR(F45="",F46=""),0,IF(AND(ISNUMBER(F45),ISNUMBER(F46)),F46-F45,0))</f>
        <v>0</v>
      </c>
      <c r="H46" s="10"/>
      <c r="I46" s="138">
        <f t="shared" si="1"/>
        <v>0</v>
      </c>
      <c r="J46" s="10"/>
      <c r="K46" s="10"/>
      <c r="L46" s="10"/>
      <c r="M46" s="10"/>
      <c r="N46" s="10"/>
      <c r="O46" s="10"/>
      <c r="P46" s="10"/>
      <c r="Q46" s="10"/>
      <c r="R46" s="155"/>
      <c r="S46" s="138">
        <f t="shared" si="3"/>
        <v>0</v>
      </c>
      <c r="T46" s="10"/>
    </row>
    <row r="47" spans="2:21">
      <c r="B47" s="150">
        <v>46248</v>
      </c>
      <c r="C47" s="10"/>
      <c r="D47" s="10"/>
      <c r="E47" s="10"/>
      <c r="F47" s="10"/>
      <c r="G47" s="59">
        <f t="shared" ref="G47" si="48">IF(OR(F46="",F47=""),0,IF(AND(ISNUMBER(F46),ISNUMBER(F47)),F47-F46,0))</f>
        <v>0</v>
      </c>
      <c r="H47" s="10"/>
      <c r="I47" s="138">
        <f t="shared" si="1"/>
        <v>0</v>
      </c>
      <c r="J47" s="10"/>
      <c r="K47" s="10"/>
      <c r="L47" s="10"/>
      <c r="M47" s="10"/>
      <c r="N47" s="10"/>
      <c r="O47" s="10"/>
      <c r="P47" s="10"/>
      <c r="Q47" s="10"/>
      <c r="R47" s="155"/>
      <c r="S47" s="138">
        <f t="shared" si="3"/>
        <v>0</v>
      </c>
      <c r="T47" s="10"/>
    </row>
    <row r="48" spans="2:21">
      <c r="B48" s="159">
        <v>46249</v>
      </c>
      <c r="C48" s="10"/>
      <c r="D48" s="10"/>
      <c r="E48" s="10"/>
      <c r="F48" s="10"/>
      <c r="G48" s="59">
        <f t="shared" ref="G48" si="49">IF(OR(F47="",F48=""),0,IF(AND(ISNUMBER(F47),ISNUMBER(F48)),F48-F47,0))</f>
        <v>0</v>
      </c>
      <c r="H48" s="10">
        <v>131861.20000000001</v>
      </c>
      <c r="I48" s="138">
        <f t="shared" si="1"/>
        <v>57.549999999988358</v>
      </c>
      <c r="J48" s="10"/>
      <c r="K48" s="10"/>
      <c r="L48" s="10"/>
      <c r="M48" s="10"/>
      <c r="N48" s="10"/>
      <c r="O48" s="10"/>
      <c r="P48" s="10"/>
      <c r="Q48" s="10"/>
      <c r="R48" s="155">
        <v>3640604.2</v>
      </c>
      <c r="S48" s="138">
        <f t="shared" si="3"/>
        <v>1273.6499999999069</v>
      </c>
      <c r="T48" s="10"/>
    </row>
    <row r="49" spans="2:20">
      <c r="B49" s="159">
        <v>46250</v>
      </c>
      <c r="C49" s="10"/>
      <c r="D49" s="10"/>
      <c r="E49" s="10"/>
      <c r="F49" s="10"/>
      <c r="G49" s="59">
        <f t="shared" ref="G49" si="50">IF(OR(F48="",F49=""),0,IF(AND(ISNUMBER(F48),ISNUMBER(F49)),F49-F48,0))</f>
        <v>0</v>
      </c>
      <c r="H49" s="10">
        <v>131918.75</v>
      </c>
      <c r="I49" s="138">
        <f t="shared" si="1"/>
        <v>0</v>
      </c>
      <c r="J49" s="10"/>
      <c r="K49" s="10"/>
      <c r="L49" s="10"/>
      <c r="M49" s="10"/>
      <c r="N49" s="10"/>
      <c r="O49" s="10"/>
      <c r="P49" s="10"/>
      <c r="Q49" s="10"/>
      <c r="R49" s="155">
        <v>3641877.85</v>
      </c>
      <c r="S49" s="138">
        <f t="shared" si="3"/>
        <v>1273.6499999999069</v>
      </c>
      <c r="T49" s="10"/>
    </row>
    <row r="50" spans="2:20">
      <c r="B50" s="150">
        <v>46251</v>
      </c>
      <c r="C50" s="10"/>
      <c r="D50" s="141">
        <v>5.52</v>
      </c>
      <c r="E50" s="160">
        <v>230</v>
      </c>
      <c r="F50" s="10"/>
      <c r="G50" s="59">
        <f t="shared" ref="G50" si="51">IF(OR(F49="",F50=""),0,IF(AND(ISNUMBER(F49),ISNUMBER(F50)),F50-F49,0))</f>
        <v>0</v>
      </c>
      <c r="H50" s="10">
        <v>131918.75</v>
      </c>
      <c r="I50" s="138">
        <f t="shared" si="1"/>
        <v>88.149999999994179</v>
      </c>
      <c r="J50" s="10"/>
      <c r="K50" s="10"/>
      <c r="L50" s="10"/>
      <c r="M50" s="10"/>
      <c r="N50" s="10"/>
      <c r="O50" s="10"/>
      <c r="P50" s="10"/>
      <c r="Q50" s="10"/>
      <c r="R50" s="155">
        <v>3643151.5</v>
      </c>
      <c r="S50" s="138">
        <f t="shared" si="3"/>
        <v>1294</v>
      </c>
      <c r="T50" s="10"/>
    </row>
    <row r="51" spans="2:20">
      <c r="B51" s="150">
        <v>46252</v>
      </c>
      <c r="C51" s="10"/>
      <c r="D51" s="141">
        <v>5.44</v>
      </c>
      <c r="E51" s="160">
        <v>36</v>
      </c>
      <c r="F51" s="10"/>
      <c r="G51" s="59">
        <f t="shared" ref="G51" si="52">IF(OR(F50="",F51=""),0,IF(AND(ISNUMBER(F50),ISNUMBER(F51)),F51-F50,0))</f>
        <v>0</v>
      </c>
      <c r="H51" s="10">
        <v>132006.9</v>
      </c>
      <c r="I51" s="138">
        <f t="shared" si="1"/>
        <v>157.61000000001513</v>
      </c>
      <c r="J51" s="10"/>
      <c r="K51" s="10"/>
      <c r="L51" s="10"/>
      <c r="M51" s="10"/>
      <c r="N51" s="10"/>
      <c r="O51" s="10"/>
      <c r="P51" s="10"/>
      <c r="Q51" s="10"/>
      <c r="R51" s="155">
        <v>3644445.5</v>
      </c>
      <c r="S51" s="138">
        <f t="shared" si="3"/>
        <v>1172.8999999999069</v>
      </c>
      <c r="T51" s="10"/>
    </row>
    <row r="52" spans="2:20">
      <c r="B52" s="150">
        <v>46253</v>
      </c>
      <c r="C52" s="10"/>
      <c r="D52" s="141">
        <v>5.76</v>
      </c>
      <c r="E52" s="160">
        <v>209</v>
      </c>
      <c r="F52" s="10"/>
      <c r="G52" s="59">
        <f t="shared" ref="G52" si="53">IF(OR(F51="",F52=""),0,IF(AND(ISNUMBER(F51),ISNUMBER(F52)),F52-F51,0))</f>
        <v>0</v>
      </c>
      <c r="H52" s="10">
        <v>132164.51</v>
      </c>
      <c r="I52" s="138">
        <f t="shared" si="1"/>
        <v>141.22000000000116</v>
      </c>
      <c r="J52" s="10"/>
      <c r="K52" s="10"/>
      <c r="L52" s="10"/>
      <c r="M52" s="10"/>
      <c r="N52" s="10"/>
      <c r="O52" s="10"/>
      <c r="P52" s="10"/>
      <c r="Q52" s="10"/>
      <c r="R52" s="155">
        <v>3645618.4</v>
      </c>
      <c r="S52" s="138">
        <f t="shared" si="3"/>
        <v>1197.7000000001863</v>
      </c>
      <c r="T52" s="10"/>
    </row>
    <row r="53" spans="2:20">
      <c r="B53" s="150">
        <v>46254</v>
      </c>
      <c r="C53" s="10"/>
      <c r="D53" s="10">
        <v>6.35</v>
      </c>
      <c r="E53" s="10">
        <v>278</v>
      </c>
      <c r="F53" s="10"/>
      <c r="G53" s="59">
        <f t="shared" ref="G53" si="54">IF(OR(F52="",F53=""),0,IF(AND(ISNUMBER(F52),ISNUMBER(F53)),F53-F52,0))</f>
        <v>0</v>
      </c>
      <c r="H53" s="10">
        <v>132305.73000000001</v>
      </c>
      <c r="I53" s="138">
        <f t="shared" si="1"/>
        <v>97.729999999981374</v>
      </c>
      <c r="J53" s="10"/>
      <c r="K53" s="10"/>
      <c r="L53" s="10"/>
      <c r="M53" s="10"/>
      <c r="N53" s="10"/>
      <c r="O53" s="10"/>
      <c r="P53" s="10"/>
      <c r="Q53" s="10"/>
      <c r="R53" s="155">
        <v>3646816.1</v>
      </c>
      <c r="S53" s="138">
        <f t="shared" si="3"/>
        <v>1221</v>
      </c>
      <c r="T53" s="10"/>
    </row>
    <row r="54" spans="2:20">
      <c r="B54" s="150">
        <v>46255</v>
      </c>
      <c r="C54" s="10"/>
      <c r="D54" s="10">
        <v>6.17</v>
      </c>
      <c r="E54" s="10">
        <v>293</v>
      </c>
      <c r="F54" s="10"/>
      <c r="G54" s="59">
        <f t="shared" ref="G54" si="55">IF(OR(F53="",F54=""),0,IF(AND(ISNUMBER(F53),ISNUMBER(F54)),F54-F53,0))</f>
        <v>0</v>
      </c>
      <c r="H54" s="10">
        <v>132403.46</v>
      </c>
      <c r="I54" s="138">
        <f t="shared" si="1"/>
        <v>0</v>
      </c>
      <c r="J54" s="10"/>
      <c r="K54" s="10"/>
      <c r="L54" s="10"/>
      <c r="M54" s="10"/>
      <c r="N54" s="10"/>
      <c r="O54" s="10"/>
      <c r="P54" s="10"/>
      <c r="Q54" s="10"/>
      <c r="R54" s="155">
        <v>3648037.1</v>
      </c>
      <c r="S54" s="138">
        <f t="shared" ref="S54" si="56">IF(OR(R54="",R55=""),0,IF(AND(ISNUMBER(R54),ISNUMBER(R55)),R55-R54,0))</f>
        <v>0</v>
      </c>
      <c r="T54" s="10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5E5EA-DB7E-4A97-977D-395956844288}">
  <dimension ref="B3:G35"/>
  <sheetViews>
    <sheetView tabSelected="1" topLeftCell="A16" workbookViewId="0">
      <selection activeCell="G31" sqref="G31"/>
    </sheetView>
  </sheetViews>
  <sheetFormatPr defaultColWidth="10.85546875" defaultRowHeight="14.45"/>
  <cols>
    <col min="1" max="1" width="3.5703125" style="2" customWidth="1"/>
    <col min="2" max="2" width="12.42578125" style="2" customWidth="1"/>
    <col min="3" max="3" width="15.5703125" style="2" customWidth="1"/>
    <col min="4" max="4" width="11.85546875" style="2" customWidth="1"/>
    <col min="5" max="5" width="14.42578125" style="2" customWidth="1"/>
    <col min="6" max="6" width="14.5703125" style="2" customWidth="1"/>
    <col min="7" max="7" width="60.140625" style="2" customWidth="1"/>
    <col min="8" max="16384" width="10.85546875" style="2"/>
  </cols>
  <sheetData>
    <row r="3" spans="2:7">
      <c r="B3" s="66" t="s">
        <v>60</v>
      </c>
      <c r="C3" s="67" t="s">
        <v>83</v>
      </c>
      <c r="D3" s="67" t="s">
        <v>84</v>
      </c>
      <c r="E3" s="67" t="s">
        <v>85</v>
      </c>
      <c r="F3" s="67" t="s">
        <v>86</v>
      </c>
      <c r="G3" s="68" t="s">
        <v>87</v>
      </c>
    </row>
    <row r="4" spans="2:7">
      <c r="B4" s="69">
        <v>46023</v>
      </c>
      <c r="C4" s="3"/>
      <c r="D4" s="3"/>
      <c r="E4" s="3"/>
      <c r="F4" s="3"/>
      <c r="G4" s="50"/>
    </row>
    <row r="5" spans="2:7">
      <c r="B5" s="69">
        <v>46060</v>
      </c>
      <c r="C5" s="3"/>
      <c r="D5" s="3"/>
      <c r="E5" s="3"/>
      <c r="F5" s="3"/>
      <c r="G5" s="50"/>
    </row>
    <row r="6" spans="2:7">
      <c r="B6" s="69">
        <v>46088</v>
      </c>
      <c r="C6" s="3"/>
      <c r="D6" s="3"/>
      <c r="E6" s="3"/>
      <c r="F6" s="3"/>
      <c r="G6" s="50"/>
    </row>
    <row r="7" spans="2:7">
      <c r="B7" s="69">
        <v>46119</v>
      </c>
      <c r="C7" s="3"/>
      <c r="D7" s="3"/>
      <c r="E7" s="3"/>
      <c r="F7" s="3"/>
      <c r="G7" s="50"/>
    </row>
    <row r="8" spans="2:7">
      <c r="B8" s="69">
        <v>46149</v>
      </c>
      <c r="C8" s="3"/>
      <c r="D8" s="3"/>
      <c r="E8" s="3"/>
      <c r="F8" s="3"/>
      <c r="G8" s="50"/>
    </row>
    <row r="9" spans="2:7">
      <c r="B9" s="69">
        <v>46180</v>
      </c>
      <c r="C9" s="3" t="s">
        <v>88</v>
      </c>
      <c r="D9" s="3" t="s">
        <v>89</v>
      </c>
      <c r="E9" s="3">
        <v>3858.9</v>
      </c>
      <c r="F9" s="3">
        <v>70</v>
      </c>
      <c r="G9" s="50" t="s">
        <v>90</v>
      </c>
    </row>
    <row r="10" spans="2:7">
      <c r="B10" s="69">
        <v>46180</v>
      </c>
      <c r="C10" s="3" t="s">
        <v>91</v>
      </c>
      <c r="D10" s="3" t="s">
        <v>92</v>
      </c>
      <c r="E10" s="3">
        <v>302846</v>
      </c>
      <c r="F10" s="3">
        <v>230</v>
      </c>
      <c r="G10" s="50"/>
    </row>
    <row r="11" spans="2:7">
      <c r="B11" s="69">
        <v>46210</v>
      </c>
      <c r="C11" s="3" t="s">
        <v>91</v>
      </c>
      <c r="D11" s="3" t="s">
        <v>93</v>
      </c>
      <c r="E11" s="3">
        <v>123058</v>
      </c>
      <c r="F11" s="3">
        <v>224</v>
      </c>
      <c r="G11" s="50"/>
    </row>
    <row r="12" spans="2:7">
      <c r="B12" s="69">
        <v>46217</v>
      </c>
      <c r="C12" s="3" t="s">
        <v>91</v>
      </c>
      <c r="D12" s="3" t="s">
        <v>92</v>
      </c>
      <c r="E12" s="3">
        <v>303294</v>
      </c>
      <c r="F12" s="3">
        <v>76</v>
      </c>
      <c r="G12" s="50"/>
    </row>
    <row r="13" spans="2:7">
      <c r="B13" s="167">
        <v>46217</v>
      </c>
      <c r="C13" s="168" t="s">
        <v>35</v>
      </c>
      <c r="D13" s="168" t="s">
        <v>35</v>
      </c>
      <c r="E13" s="168" t="s">
        <v>35</v>
      </c>
      <c r="F13" s="168" t="s">
        <v>35</v>
      </c>
      <c r="G13" s="169" t="s">
        <v>94</v>
      </c>
    </row>
    <row r="14" spans="2:7">
      <c r="B14" s="69">
        <v>46223</v>
      </c>
      <c r="C14" s="3" t="s">
        <v>91</v>
      </c>
      <c r="D14" s="3" t="s">
        <v>92</v>
      </c>
      <c r="E14" s="3">
        <v>303447</v>
      </c>
      <c r="F14" s="3">
        <v>235</v>
      </c>
      <c r="G14" s="50"/>
    </row>
    <row r="15" spans="2:7">
      <c r="B15" s="69" t="s">
        <v>95</v>
      </c>
      <c r="C15" s="3" t="s">
        <v>91</v>
      </c>
      <c r="D15" s="3" t="s">
        <v>96</v>
      </c>
      <c r="E15" s="3"/>
      <c r="F15" s="3">
        <v>65</v>
      </c>
      <c r="G15" s="50" t="s">
        <v>97</v>
      </c>
    </row>
    <row r="16" spans="2:7">
      <c r="B16" s="69">
        <v>46227</v>
      </c>
      <c r="C16" s="3" t="s">
        <v>98</v>
      </c>
      <c r="D16" s="3" t="s">
        <v>93</v>
      </c>
      <c r="E16" s="3">
        <v>123749</v>
      </c>
      <c r="F16" s="3">
        <v>200</v>
      </c>
      <c r="G16" s="50"/>
    </row>
    <row r="17" spans="2:7">
      <c r="B17" s="69">
        <v>46231</v>
      </c>
      <c r="C17" s="3" t="s">
        <v>91</v>
      </c>
      <c r="D17" s="3" t="s">
        <v>92</v>
      </c>
      <c r="E17" s="3">
        <v>303881</v>
      </c>
      <c r="F17" s="3">
        <v>240</v>
      </c>
      <c r="G17" s="50"/>
    </row>
    <row r="18" spans="2:7">
      <c r="B18" s="69">
        <v>46233</v>
      </c>
      <c r="C18" s="3" t="s">
        <v>98</v>
      </c>
      <c r="D18" s="3" t="s">
        <v>93</v>
      </c>
      <c r="E18" s="3">
        <v>124223</v>
      </c>
      <c r="F18" s="3">
        <v>47</v>
      </c>
      <c r="G18" s="50"/>
    </row>
    <row r="19" spans="2:7">
      <c r="B19" s="69">
        <v>46230</v>
      </c>
      <c r="C19" s="3" t="s">
        <v>99</v>
      </c>
      <c r="D19" s="3" t="s">
        <v>100</v>
      </c>
      <c r="E19" s="3"/>
      <c r="F19" s="3">
        <v>70</v>
      </c>
      <c r="G19" s="50"/>
    </row>
    <row r="20" spans="2:7">
      <c r="B20" s="69">
        <v>46218</v>
      </c>
      <c r="C20" s="3" t="s">
        <v>98</v>
      </c>
      <c r="D20" s="3" t="s">
        <v>93</v>
      </c>
      <c r="E20" s="3"/>
      <c r="F20" s="3">
        <v>204</v>
      </c>
      <c r="G20" s="50"/>
    </row>
    <row r="21" spans="2:7" ht="14.45" customHeight="1">
      <c r="B21" s="167">
        <v>46237</v>
      </c>
      <c r="C21" s="170"/>
      <c r="D21" s="170"/>
      <c r="E21" s="170"/>
      <c r="F21" s="170"/>
      <c r="G21" s="169" t="s">
        <v>94</v>
      </c>
    </row>
    <row r="22" spans="2:7">
      <c r="B22" s="69">
        <v>46238</v>
      </c>
      <c r="C22" s="3" t="s">
        <v>91</v>
      </c>
      <c r="D22" s="3" t="s">
        <v>92</v>
      </c>
      <c r="E22" s="3">
        <v>304247</v>
      </c>
      <c r="F22" s="3">
        <v>200</v>
      </c>
      <c r="G22" s="50"/>
    </row>
    <row r="23" spans="2:7">
      <c r="B23" s="69">
        <v>46240</v>
      </c>
      <c r="C23" s="3" t="s">
        <v>98</v>
      </c>
      <c r="D23" s="3" t="s">
        <v>93</v>
      </c>
      <c r="E23" s="3">
        <v>124643</v>
      </c>
      <c r="F23" s="3">
        <v>199</v>
      </c>
      <c r="G23" s="50"/>
    </row>
    <row r="24" spans="2:7">
      <c r="B24" s="69">
        <v>46246</v>
      </c>
      <c r="C24" s="3" t="s">
        <v>88</v>
      </c>
      <c r="D24" s="3" t="s">
        <v>35</v>
      </c>
      <c r="E24" s="3">
        <v>1489.5</v>
      </c>
      <c r="F24" s="3">
        <v>80</v>
      </c>
      <c r="G24" s="50" t="s">
        <v>101</v>
      </c>
    </row>
    <row r="25" spans="2:7">
      <c r="B25" s="69">
        <v>46247</v>
      </c>
      <c r="C25" s="3" t="s">
        <v>98</v>
      </c>
      <c r="D25" s="3" t="s">
        <v>93</v>
      </c>
      <c r="E25" s="3">
        <v>125131</v>
      </c>
      <c r="F25" s="3">
        <v>214</v>
      </c>
      <c r="G25" s="50"/>
    </row>
    <row r="26" spans="2:7">
      <c r="B26" s="69">
        <v>46244</v>
      </c>
      <c r="C26" s="3" t="s">
        <v>91</v>
      </c>
      <c r="D26" s="3" t="s">
        <v>92</v>
      </c>
      <c r="E26" s="3">
        <v>304605</v>
      </c>
      <c r="F26" s="3">
        <v>201</v>
      </c>
      <c r="G26" s="50"/>
    </row>
    <row r="27" spans="2:7">
      <c r="B27" s="69">
        <v>46254</v>
      </c>
      <c r="C27" s="3" t="s">
        <v>98</v>
      </c>
      <c r="D27" s="3" t="s">
        <v>93</v>
      </c>
      <c r="E27" s="3">
        <v>125669</v>
      </c>
      <c r="F27" s="3">
        <v>121</v>
      </c>
      <c r="G27" s="50"/>
    </row>
    <row r="28" spans="2:7">
      <c r="B28" s="167" t="s">
        <v>102</v>
      </c>
      <c r="C28" s="168" t="s">
        <v>103</v>
      </c>
      <c r="D28" s="168" t="s">
        <v>104</v>
      </c>
      <c r="E28" s="168"/>
      <c r="F28" s="168"/>
      <c r="G28" s="169" t="s">
        <v>105</v>
      </c>
    </row>
    <row r="29" spans="2:7">
      <c r="B29" s="69" t="s">
        <v>106</v>
      </c>
      <c r="C29" s="3" t="s">
        <v>107</v>
      </c>
      <c r="D29" s="3" t="s">
        <v>92</v>
      </c>
      <c r="E29" s="3">
        <v>305369</v>
      </c>
      <c r="F29" s="3">
        <v>237</v>
      </c>
      <c r="G29" s="50"/>
    </row>
    <row r="30" spans="2:7">
      <c r="B30" s="69" t="s">
        <v>106</v>
      </c>
      <c r="C30" s="3" t="s">
        <v>98</v>
      </c>
      <c r="D30" s="3" t="s">
        <v>93</v>
      </c>
      <c r="E30" s="3">
        <v>15783</v>
      </c>
      <c r="F30" s="3">
        <v>226</v>
      </c>
      <c r="G30" s="50"/>
    </row>
    <row r="31" spans="2:7">
      <c r="B31" s="69" t="s">
        <v>106</v>
      </c>
      <c r="C31" s="3" t="s">
        <v>108</v>
      </c>
      <c r="D31" s="3" t="s">
        <v>89</v>
      </c>
      <c r="E31" s="3">
        <v>3895</v>
      </c>
      <c r="F31" s="3">
        <v>80</v>
      </c>
      <c r="G31" s="50"/>
    </row>
    <row r="32" spans="2:7">
      <c r="B32" s="69"/>
      <c r="C32" s="3"/>
      <c r="D32" s="3"/>
      <c r="E32" s="3"/>
      <c r="F32" s="3"/>
      <c r="G32" s="50"/>
    </row>
    <row r="33" spans="2:7">
      <c r="B33" s="69"/>
      <c r="C33" s="3"/>
      <c r="D33" s="3"/>
      <c r="E33" s="3"/>
      <c r="F33" s="3"/>
      <c r="G33" s="50"/>
    </row>
    <row r="34" spans="2:7">
      <c r="B34" s="69"/>
      <c r="C34" s="3"/>
      <c r="D34" s="3"/>
      <c r="E34" s="3"/>
      <c r="F34" s="3"/>
      <c r="G34" s="50"/>
    </row>
    <row r="35" spans="2:7">
      <c r="B35" s="70"/>
      <c r="C35" s="51"/>
      <c r="D35" s="51"/>
      <c r="E35" s="51"/>
      <c r="F35" s="51"/>
      <c r="G35" s="52"/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Javier Vasquez</dc:creator>
  <cp:keywords/>
  <dc:description/>
  <cp:lastModifiedBy/>
  <cp:revision/>
  <dcterms:created xsi:type="dcterms:W3CDTF">2015-06-05T18:17:20Z</dcterms:created>
  <dcterms:modified xsi:type="dcterms:W3CDTF">2026-08-26T19:39:32Z</dcterms:modified>
  <cp:category/>
  <cp:contentStatus/>
</cp:coreProperties>
</file>